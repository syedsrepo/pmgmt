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25" codeName="{A93C3448-2578-E12B-C58C-25EFAD1D314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yed Salahuddin\Desktop\"/>
    </mc:Choice>
  </mc:AlternateContent>
  <xr:revisionPtr revIDLastSave="0" documentId="13_ncr:1_{01029364-24BE-4E26-95DB-317CE78827AE}" xr6:coauthVersionLast="34" xr6:coauthVersionMax="34" xr10:uidLastSave="{00000000-0000-0000-0000-000000000000}"/>
  <bookViews>
    <workbookView xWindow="9765" yWindow="-15" windowWidth="4395" windowHeight="9420" activeTab="2" xr2:uid="{00000000-000D-0000-FFFF-FFFF00000000}"/>
  </bookViews>
  <sheets>
    <sheet name="Index" sheetId="7" r:id="rId1"/>
    <sheet name="Metric_Selection" sheetId="11" r:id="rId2"/>
    <sheet name="Data_Sheet" sheetId="4" r:id="rId3"/>
    <sheet name="Conventional_Metrics_Guide" sheetId="10" r:id="rId4"/>
  </sheets>
  <externalReferences>
    <externalReference r:id="rId5"/>
    <externalReference r:id="rId6"/>
    <externalReference r:id="rId7"/>
  </externalReferences>
  <definedNames>
    <definedName name="_xlnm._FilterDatabase" localSheetId="3" hidden="1">Conventional_Metrics_Guide!$A$2:$AE$33</definedName>
    <definedName name="Burndown" localSheetId="2">[1]Sprint!$L$4:$CH$17</definedName>
    <definedName name="Burndown">[2]Sprint!$L$4:$CH$17</definedName>
    <definedName name="BurndownColumns" localSheetId="2">[1]Planning!$B$47</definedName>
    <definedName name="BurndownColumns">[2]Planning!$B$47</definedName>
    <definedName name="DailyScrumDateModifier" localSheetId="2">[1]Planning!$B$44</definedName>
    <definedName name="DailyScrumDateModifier">[2]Planning!$B$44</definedName>
    <definedName name="Defect_Cause" localSheetId="0">'[3]Dropdown Values'!$D$11:$D$24</definedName>
    <definedName name="Defect_Cause">'[3]Dropdown Values'!$D$11:$D$24</definedName>
    <definedName name="Defect_Type_OMS" localSheetId="0">'[3]Dropdown Values'!$G$9:$G$27</definedName>
    <definedName name="Defect_Type_OMS">'[3]Dropdown Values'!$G$9:$G$27</definedName>
    <definedName name="HoursLeftColumn" localSheetId="2">[1]Planning!$B$49</definedName>
    <definedName name="HoursLeftColumn">[2]Planning!$B$49</definedName>
    <definedName name="HoursSpentColumn" localSheetId="2">[1]Planning!$B$48</definedName>
    <definedName name="HoursSpentColumn">[2]Planning!$B$48</definedName>
    <definedName name="LeftColumn" localSheetId="2">[1]Planning!$B$49</definedName>
    <definedName name="LeftColumn">[2]Planning!$B$49</definedName>
    <definedName name="Phase_Injected" localSheetId="0">'[3]Dropdown Values'!$I$31:$I$63</definedName>
    <definedName name="Phase_Injected">'[3]Dropdown Values'!$I$31:$I$63</definedName>
    <definedName name="Project_Code" localSheetId="0">#REF!</definedName>
    <definedName name="Project_Code">#REF!</definedName>
    <definedName name="Project_Name" localSheetId="0">#REF!</definedName>
    <definedName name="Project_Name">#REF!</definedName>
    <definedName name="SkipWeekends" localSheetId="2">[1]Planning!$B$43</definedName>
    <definedName name="SkipWeekends">[2]Planning!$B$43</definedName>
    <definedName name="SpentColumn" localSheetId="2">[1]Planning!$B$48</definedName>
    <definedName name="SpentColumn">[2]Planning!$B$48</definedName>
    <definedName name="SprintDates" localSheetId="2">[1]Sprint!$L$1:$CH$1</definedName>
    <definedName name="SprintDates">[2]Sprint!$L$1:$CH$1</definedName>
    <definedName name="SprintStart" localSheetId="2">[1]Planning!$B$9</definedName>
    <definedName name="SprintStart">[2]Planning!$B$9</definedName>
    <definedName name="Start_Date" localSheetId="2">[1]Planning!$B$9</definedName>
    <definedName name="Start_Date">[2]Planning!$B$9</definedName>
    <definedName name="StatusColumn" localSheetId="2">[1]Planning!$B$50</definedName>
    <definedName name="StatusColumn">[2]Planning!$B$50</definedName>
    <definedName name="StatusTypes" localSheetId="2">[1]Analysis!$A$50:$A$50</definedName>
    <definedName name="StatusTypes">[2]Analysis!$A$50:$A$50</definedName>
    <definedName name="TotalEffort" localSheetId="2">[1]Sprint!$CI$4:$CI$17</definedName>
    <definedName name="TotalEffort">[2]Sprint!$CI$4:$CI$17</definedName>
    <definedName name="Validationnames" localSheetId="0">#REF!</definedName>
    <definedName name="Validationnames">#REF!</definedName>
    <definedName name="Validationtypes" localSheetId="0">#REF!</definedName>
    <definedName name="Validationtypes">#REF!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U8" i="4" l="1"/>
  <c r="DQ8" i="4"/>
  <c r="DM8" i="4"/>
  <c r="DU7" i="4"/>
  <c r="DQ7" i="4"/>
  <c r="DM7" i="4"/>
  <c r="DU6" i="4"/>
  <c r="DQ6" i="4"/>
  <c r="DM6" i="4"/>
  <c r="FQ78" i="4" l="1"/>
  <c r="FM78" i="4"/>
  <c r="FI78" i="4"/>
  <c r="FE78" i="4"/>
  <c r="FA78" i="4"/>
  <c r="EW78" i="4"/>
  <c r="ES78" i="4"/>
  <c r="EO78" i="4"/>
  <c r="EK78" i="4"/>
  <c r="EG78" i="4"/>
  <c r="EC78" i="4"/>
  <c r="DY78" i="4"/>
  <c r="DU78" i="4"/>
  <c r="DQ78" i="4"/>
  <c r="DM78" i="4"/>
  <c r="DI78" i="4"/>
  <c r="DE78" i="4"/>
  <c r="DB78" i="4"/>
  <c r="CX78" i="4"/>
  <c r="CT78" i="4"/>
  <c r="CQ78" i="4"/>
  <c r="CM78" i="4"/>
  <c r="CI78" i="4"/>
  <c r="CE78" i="4"/>
  <c r="CB78" i="4"/>
  <c r="BY78" i="4"/>
  <c r="BU78" i="4"/>
  <c r="BQ78" i="4"/>
  <c r="BM78" i="4"/>
  <c r="BI78" i="4"/>
  <c r="BE78" i="4"/>
  <c r="BA78" i="4"/>
  <c r="AW78" i="4"/>
  <c r="AS78" i="4"/>
  <c r="AO78" i="4"/>
  <c r="AK78" i="4"/>
  <c r="AG78" i="4"/>
  <c r="AC78" i="4"/>
  <c r="Y78" i="4"/>
  <c r="U78" i="4"/>
  <c r="R78" i="4"/>
  <c r="P78" i="4"/>
  <c r="L78" i="4"/>
  <c r="H78" i="4"/>
  <c r="A78" i="4"/>
  <c r="FQ77" i="4"/>
  <c r="FM77" i="4"/>
  <c r="FI77" i="4"/>
  <c r="FE77" i="4"/>
  <c r="FA77" i="4"/>
  <c r="EW77" i="4"/>
  <c r="ES77" i="4"/>
  <c r="EO77" i="4"/>
  <c r="EK77" i="4"/>
  <c r="EG77" i="4"/>
  <c r="EC77" i="4"/>
  <c r="DY77" i="4"/>
  <c r="DU77" i="4"/>
  <c r="DQ77" i="4"/>
  <c r="DM77" i="4"/>
  <c r="DI77" i="4"/>
  <c r="DE77" i="4"/>
  <c r="DB77" i="4"/>
  <c r="CX77" i="4"/>
  <c r="CT77" i="4"/>
  <c r="CQ77" i="4"/>
  <c r="CM77" i="4"/>
  <c r="CI77" i="4"/>
  <c r="CE77" i="4"/>
  <c r="CB77" i="4"/>
  <c r="BY77" i="4"/>
  <c r="BU77" i="4"/>
  <c r="BQ77" i="4"/>
  <c r="BM77" i="4"/>
  <c r="BI77" i="4"/>
  <c r="BE77" i="4"/>
  <c r="BA77" i="4"/>
  <c r="AW77" i="4"/>
  <c r="AS77" i="4"/>
  <c r="AO77" i="4"/>
  <c r="AK77" i="4"/>
  <c r="AG77" i="4"/>
  <c r="AC77" i="4"/>
  <c r="Y77" i="4"/>
  <c r="U77" i="4"/>
  <c r="R77" i="4"/>
  <c r="P77" i="4"/>
  <c r="L77" i="4"/>
  <c r="H77" i="4"/>
  <c r="A77" i="4"/>
  <c r="FQ76" i="4"/>
  <c r="FM76" i="4"/>
  <c r="FI76" i="4"/>
  <c r="FE76" i="4"/>
  <c r="FA76" i="4"/>
  <c r="EW76" i="4"/>
  <c r="ES76" i="4"/>
  <c r="EO76" i="4"/>
  <c r="EK76" i="4"/>
  <c r="EG76" i="4"/>
  <c r="EC76" i="4"/>
  <c r="DY76" i="4"/>
  <c r="DU76" i="4"/>
  <c r="DQ76" i="4"/>
  <c r="DM76" i="4"/>
  <c r="DI76" i="4"/>
  <c r="DE76" i="4"/>
  <c r="DB76" i="4"/>
  <c r="CX76" i="4"/>
  <c r="CT76" i="4"/>
  <c r="CQ76" i="4"/>
  <c r="CM76" i="4"/>
  <c r="CI76" i="4"/>
  <c r="CE76" i="4"/>
  <c r="CB76" i="4"/>
  <c r="BY76" i="4"/>
  <c r="BU76" i="4"/>
  <c r="BQ76" i="4"/>
  <c r="BM76" i="4"/>
  <c r="BI76" i="4"/>
  <c r="BE76" i="4"/>
  <c r="BA76" i="4"/>
  <c r="AW76" i="4"/>
  <c r="AS76" i="4"/>
  <c r="AO76" i="4"/>
  <c r="AK76" i="4"/>
  <c r="AG76" i="4"/>
  <c r="AC76" i="4"/>
  <c r="Y76" i="4"/>
  <c r="U76" i="4"/>
  <c r="R76" i="4"/>
  <c r="P76" i="4"/>
  <c r="L76" i="4"/>
  <c r="H76" i="4"/>
  <c r="A76" i="4"/>
  <c r="FQ75" i="4"/>
  <c r="FM75" i="4"/>
  <c r="FI75" i="4"/>
  <c r="FE75" i="4"/>
  <c r="FA75" i="4"/>
  <c r="EW75" i="4"/>
  <c r="ES75" i="4"/>
  <c r="EO75" i="4"/>
  <c r="EK75" i="4"/>
  <c r="EG75" i="4"/>
  <c r="EC75" i="4"/>
  <c r="DY75" i="4"/>
  <c r="DU75" i="4"/>
  <c r="DQ75" i="4"/>
  <c r="DM75" i="4"/>
  <c r="DI75" i="4"/>
  <c r="DE75" i="4"/>
  <c r="DB75" i="4"/>
  <c r="CX75" i="4"/>
  <c r="CT75" i="4"/>
  <c r="CQ75" i="4"/>
  <c r="CM75" i="4"/>
  <c r="CI75" i="4"/>
  <c r="CE75" i="4"/>
  <c r="CB75" i="4"/>
  <c r="BY75" i="4"/>
  <c r="BU75" i="4"/>
  <c r="BQ75" i="4"/>
  <c r="BM75" i="4"/>
  <c r="BI75" i="4"/>
  <c r="BE75" i="4"/>
  <c r="BA75" i="4"/>
  <c r="AW75" i="4"/>
  <c r="AS75" i="4"/>
  <c r="AO75" i="4"/>
  <c r="AK75" i="4"/>
  <c r="AG75" i="4"/>
  <c r="AC75" i="4"/>
  <c r="Y75" i="4"/>
  <c r="U75" i="4"/>
  <c r="R75" i="4"/>
  <c r="P75" i="4"/>
  <c r="L75" i="4"/>
  <c r="H75" i="4"/>
  <c r="A75" i="4"/>
  <c r="FQ74" i="4"/>
  <c r="FM74" i="4"/>
  <c r="FI74" i="4"/>
  <c r="FE74" i="4"/>
  <c r="FA74" i="4"/>
  <c r="EW74" i="4"/>
  <c r="ES74" i="4"/>
  <c r="EO74" i="4"/>
  <c r="EK74" i="4"/>
  <c r="EG74" i="4"/>
  <c r="EC74" i="4"/>
  <c r="DY74" i="4"/>
  <c r="DU74" i="4"/>
  <c r="DQ74" i="4"/>
  <c r="DM74" i="4"/>
  <c r="DI74" i="4"/>
  <c r="DE74" i="4"/>
  <c r="DB74" i="4"/>
  <c r="CX74" i="4"/>
  <c r="CT74" i="4"/>
  <c r="CQ74" i="4"/>
  <c r="CM74" i="4"/>
  <c r="CI74" i="4"/>
  <c r="CE74" i="4"/>
  <c r="CB74" i="4"/>
  <c r="BY74" i="4"/>
  <c r="BU74" i="4"/>
  <c r="BQ74" i="4"/>
  <c r="BM74" i="4"/>
  <c r="BI74" i="4"/>
  <c r="BE74" i="4"/>
  <c r="BA74" i="4"/>
  <c r="AW74" i="4"/>
  <c r="AS74" i="4"/>
  <c r="AO74" i="4"/>
  <c r="AK74" i="4"/>
  <c r="AG74" i="4"/>
  <c r="AC74" i="4"/>
  <c r="Y74" i="4"/>
  <c r="U74" i="4"/>
  <c r="R74" i="4"/>
  <c r="P74" i="4"/>
  <c r="L74" i="4"/>
  <c r="H74" i="4"/>
  <c r="A74" i="4"/>
  <c r="FQ73" i="4"/>
  <c r="FM73" i="4"/>
  <c r="FI73" i="4"/>
  <c r="FE73" i="4"/>
  <c r="FA73" i="4"/>
  <c r="EW73" i="4"/>
  <c r="ES73" i="4"/>
  <c r="EO73" i="4"/>
  <c r="EK73" i="4"/>
  <c r="EG73" i="4"/>
  <c r="EC73" i="4"/>
  <c r="DY73" i="4"/>
  <c r="DU73" i="4"/>
  <c r="DQ73" i="4"/>
  <c r="DM73" i="4"/>
  <c r="DI73" i="4"/>
  <c r="DE73" i="4"/>
  <c r="DB73" i="4"/>
  <c r="CX73" i="4"/>
  <c r="CT73" i="4"/>
  <c r="CQ73" i="4"/>
  <c r="CM73" i="4"/>
  <c r="CI73" i="4"/>
  <c r="CE73" i="4"/>
  <c r="CB73" i="4"/>
  <c r="BY73" i="4"/>
  <c r="BU73" i="4"/>
  <c r="BQ73" i="4"/>
  <c r="BM73" i="4"/>
  <c r="BI73" i="4"/>
  <c r="BE73" i="4"/>
  <c r="BA73" i="4"/>
  <c r="AW73" i="4"/>
  <c r="AS73" i="4"/>
  <c r="AO73" i="4"/>
  <c r="AK73" i="4"/>
  <c r="AG73" i="4"/>
  <c r="AC73" i="4"/>
  <c r="Y73" i="4"/>
  <c r="U73" i="4"/>
  <c r="R73" i="4"/>
  <c r="P73" i="4"/>
  <c r="L73" i="4"/>
  <c r="H73" i="4"/>
  <c r="A73" i="4"/>
  <c r="FQ72" i="4"/>
  <c r="FM72" i="4"/>
  <c r="FI72" i="4"/>
  <c r="FE72" i="4"/>
  <c r="FA72" i="4"/>
  <c r="EW72" i="4"/>
  <c r="ES72" i="4"/>
  <c r="EO72" i="4"/>
  <c r="EK72" i="4"/>
  <c r="EG72" i="4"/>
  <c r="EC72" i="4"/>
  <c r="DY72" i="4"/>
  <c r="DU72" i="4"/>
  <c r="DQ72" i="4"/>
  <c r="DM72" i="4"/>
  <c r="DI72" i="4"/>
  <c r="DE72" i="4"/>
  <c r="DB72" i="4"/>
  <c r="CX72" i="4"/>
  <c r="CT72" i="4"/>
  <c r="CQ72" i="4"/>
  <c r="CM72" i="4"/>
  <c r="CI72" i="4"/>
  <c r="CE72" i="4"/>
  <c r="CB72" i="4"/>
  <c r="BY72" i="4"/>
  <c r="BU72" i="4"/>
  <c r="BQ72" i="4"/>
  <c r="BM72" i="4"/>
  <c r="BI72" i="4"/>
  <c r="BE72" i="4"/>
  <c r="BA72" i="4"/>
  <c r="AW72" i="4"/>
  <c r="AS72" i="4"/>
  <c r="AO72" i="4"/>
  <c r="AK72" i="4"/>
  <c r="AG72" i="4"/>
  <c r="AC72" i="4"/>
  <c r="Y72" i="4"/>
  <c r="U72" i="4"/>
  <c r="R72" i="4"/>
  <c r="P72" i="4"/>
  <c r="L72" i="4"/>
  <c r="H72" i="4"/>
  <c r="A72" i="4"/>
  <c r="FQ71" i="4"/>
  <c r="FM71" i="4"/>
  <c r="FI71" i="4"/>
  <c r="FE71" i="4"/>
  <c r="FA71" i="4"/>
  <c r="EW71" i="4"/>
  <c r="ES71" i="4"/>
  <c r="EO71" i="4"/>
  <c r="EK71" i="4"/>
  <c r="EG71" i="4"/>
  <c r="EC71" i="4"/>
  <c r="DY71" i="4"/>
  <c r="DU71" i="4"/>
  <c r="DQ71" i="4"/>
  <c r="DM71" i="4"/>
  <c r="DI71" i="4"/>
  <c r="DE71" i="4"/>
  <c r="DB71" i="4"/>
  <c r="CX71" i="4"/>
  <c r="CT71" i="4"/>
  <c r="CQ71" i="4"/>
  <c r="CM71" i="4"/>
  <c r="CI71" i="4"/>
  <c r="CE71" i="4"/>
  <c r="CB71" i="4"/>
  <c r="BY71" i="4"/>
  <c r="BU71" i="4"/>
  <c r="BQ71" i="4"/>
  <c r="BM71" i="4"/>
  <c r="BI71" i="4"/>
  <c r="BE71" i="4"/>
  <c r="BA71" i="4"/>
  <c r="AW71" i="4"/>
  <c r="AS71" i="4"/>
  <c r="AO71" i="4"/>
  <c r="AK71" i="4"/>
  <c r="AG71" i="4"/>
  <c r="AC71" i="4"/>
  <c r="Y71" i="4"/>
  <c r="U71" i="4"/>
  <c r="R71" i="4"/>
  <c r="P71" i="4"/>
  <c r="L71" i="4"/>
  <c r="H71" i="4"/>
  <c r="A71" i="4"/>
  <c r="FQ70" i="4"/>
  <c r="FM70" i="4"/>
  <c r="FI70" i="4"/>
  <c r="FE70" i="4"/>
  <c r="FA70" i="4"/>
  <c r="EW70" i="4"/>
  <c r="ES70" i="4"/>
  <c r="EO70" i="4"/>
  <c r="EK70" i="4"/>
  <c r="EG70" i="4"/>
  <c r="EC70" i="4"/>
  <c r="DY70" i="4"/>
  <c r="DU70" i="4"/>
  <c r="DQ70" i="4"/>
  <c r="DM70" i="4"/>
  <c r="DI70" i="4"/>
  <c r="DE70" i="4"/>
  <c r="DB70" i="4"/>
  <c r="CX70" i="4"/>
  <c r="CT70" i="4"/>
  <c r="CQ70" i="4"/>
  <c r="CM70" i="4"/>
  <c r="CI70" i="4"/>
  <c r="CE70" i="4"/>
  <c r="CB70" i="4"/>
  <c r="BY70" i="4"/>
  <c r="BU70" i="4"/>
  <c r="BQ70" i="4"/>
  <c r="BM70" i="4"/>
  <c r="BI70" i="4"/>
  <c r="BE70" i="4"/>
  <c r="BA70" i="4"/>
  <c r="AW70" i="4"/>
  <c r="AS70" i="4"/>
  <c r="AO70" i="4"/>
  <c r="AK70" i="4"/>
  <c r="AG70" i="4"/>
  <c r="AC70" i="4"/>
  <c r="Y70" i="4"/>
  <c r="U70" i="4"/>
  <c r="R70" i="4"/>
  <c r="P70" i="4"/>
  <c r="L70" i="4"/>
  <c r="H70" i="4"/>
  <c r="A70" i="4"/>
  <c r="FQ69" i="4"/>
  <c r="FM69" i="4"/>
  <c r="FI69" i="4"/>
  <c r="FE69" i="4"/>
  <c r="FA69" i="4"/>
  <c r="EW69" i="4"/>
  <c r="ES69" i="4"/>
  <c r="EO69" i="4"/>
  <c r="EK69" i="4"/>
  <c r="EG69" i="4"/>
  <c r="EC69" i="4"/>
  <c r="DY69" i="4"/>
  <c r="DU69" i="4"/>
  <c r="DQ69" i="4"/>
  <c r="DM69" i="4"/>
  <c r="DI69" i="4"/>
  <c r="DE69" i="4"/>
  <c r="DB69" i="4"/>
  <c r="CX69" i="4"/>
  <c r="CT69" i="4"/>
  <c r="CQ69" i="4"/>
  <c r="CM69" i="4"/>
  <c r="CI69" i="4"/>
  <c r="CE69" i="4"/>
  <c r="CB69" i="4"/>
  <c r="BY69" i="4"/>
  <c r="BU69" i="4"/>
  <c r="BQ69" i="4"/>
  <c r="BM69" i="4"/>
  <c r="BI69" i="4"/>
  <c r="BE69" i="4"/>
  <c r="BA69" i="4"/>
  <c r="AW69" i="4"/>
  <c r="AS69" i="4"/>
  <c r="AO69" i="4"/>
  <c r="AK69" i="4"/>
  <c r="AG69" i="4"/>
  <c r="AC69" i="4"/>
  <c r="Y69" i="4"/>
  <c r="U69" i="4"/>
  <c r="R69" i="4"/>
  <c r="P69" i="4"/>
  <c r="L69" i="4"/>
  <c r="H69" i="4"/>
  <c r="A69" i="4"/>
  <c r="FQ68" i="4"/>
  <c r="FM68" i="4"/>
  <c r="FI68" i="4"/>
  <c r="FE68" i="4"/>
  <c r="FA68" i="4"/>
  <c r="EW68" i="4"/>
  <c r="ES68" i="4"/>
  <c r="EO68" i="4"/>
  <c r="EK68" i="4"/>
  <c r="EG68" i="4"/>
  <c r="EC68" i="4"/>
  <c r="DY68" i="4"/>
  <c r="DU68" i="4"/>
  <c r="DQ68" i="4"/>
  <c r="DM68" i="4"/>
  <c r="DI68" i="4"/>
  <c r="DE68" i="4"/>
  <c r="DB68" i="4"/>
  <c r="CX68" i="4"/>
  <c r="CT68" i="4"/>
  <c r="CQ68" i="4"/>
  <c r="CM68" i="4"/>
  <c r="CI68" i="4"/>
  <c r="CE68" i="4"/>
  <c r="CB68" i="4"/>
  <c r="BY68" i="4"/>
  <c r="BU68" i="4"/>
  <c r="BQ68" i="4"/>
  <c r="BM68" i="4"/>
  <c r="BI68" i="4"/>
  <c r="BE68" i="4"/>
  <c r="BA68" i="4"/>
  <c r="AW68" i="4"/>
  <c r="AS68" i="4"/>
  <c r="AO68" i="4"/>
  <c r="AK68" i="4"/>
  <c r="AG68" i="4"/>
  <c r="AC68" i="4"/>
  <c r="Y68" i="4"/>
  <c r="U68" i="4"/>
  <c r="R68" i="4"/>
  <c r="P68" i="4"/>
  <c r="L68" i="4"/>
  <c r="H68" i="4"/>
  <c r="A68" i="4"/>
  <c r="FQ67" i="4"/>
  <c r="FM67" i="4"/>
  <c r="FI67" i="4"/>
  <c r="FE67" i="4"/>
  <c r="FA67" i="4"/>
  <c r="EW67" i="4"/>
  <c r="ES67" i="4"/>
  <c r="EO67" i="4"/>
  <c r="EK67" i="4"/>
  <c r="EG67" i="4"/>
  <c r="EC67" i="4"/>
  <c r="DY67" i="4"/>
  <c r="DU67" i="4"/>
  <c r="DQ67" i="4"/>
  <c r="DM67" i="4"/>
  <c r="DI67" i="4"/>
  <c r="DE67" i="4"/>
  <c r="DB67" i="4"/>
  <c r="CX67" i="4"/>
  <c r="CT67" i="4"/>
  <c r="CQ67" i="4"/>
  <c r="CM67" i="4"/>
  <c r="CI67" i="4"/>
  <c r="CE67" i="4"/>
  <c r="CB67" i="4"/>
  <c r="BY67" i="4"/>
  <c r="BU67" i="4"/>
  <c r="BQ67" i="4"/>
  <c r="BM67" i="4"/>
  <c r="BI67" i="4"/>
  <c r="BE67" i="4"/>
  <c r="BA67" i="4"/>
  <c r="AW67" i="4"/>
  <c r="AS67" i="4"/>
  <c r="AO67" i="4"/>
  <c r="AK67" i="4"/>
  <c r="AG67" i="4"/>
  <c r="AC67" i="4"/>
  <c r="Y67" i="4"/>
  <c r="U67" i="4"/>
  <c r="R67" i="4"/>
  <c r="P67" i="4"/>
  <c r="L67" i="4"/>
  <c r="H67" i="4"/>
  <c r="A67" i="4"/>
  <c r="FQ66" i="4"/>
  <c r="FM66" i="4"/>
  <c r="FI66" i="4"/>
  <c r="FE66" i="4"/>
  <c r="FA66" i="4"/>
  <c r="EW66" i="4"/>
  <c r="ES66" i="4"/>
  <c r="EO66" i="4"/>
  <c r="EK66" i="4"/>
  <c r="EG66" i="4"/>
  <c r="EC66" i="4"/>
  <c r="DY66" i="4"/>
  <c r="DU66" i="4"/>
  <c r="DQ66" i="4"/>
  <c r="DM66" i="4"/>
  <c r="DI66" i="4"/>
  <c r="DE66" i="4"/>
  <c r="DB66" i="4"/>
  <c r="CX66" i="4"/>
  <c r="CT66" i="4"/>
  <c r="CQ66" i="4"/>
  <c r="CM66" i="4"/>
  <c r="CI66" i="4"/>
  <c r="CE66" i="4"/>
  <c r="CB66" i="4"/>
  <c r="BY66" i="4"/>
  <c r="BU66" i="4"/>
  <c r="BQ66" i="4"/>
  <c r="BM66" i="4"/>
  <c r="BI66" i="4"/>
  <c r="BE66" i="4"/>
  <c r="BA66" i="4"/>
  <c r="AW66" i="4"/>
  <c r="AS66" i="4"/>
  <c r="AO66" i="4"/>
  <c r="AK66" i="4"/>
  <c r="AG66" i="4"/>
  <c r="AC66" i="4"/>
  <c r="Y66" i="4"/>
  <c r="U66" i="4"/>
  <c r="R66" i="4"/>
  <c r="P66" i="4"/>
  <c r="L66" i="4"/>
  <c r="H66" i="4"/>
  <c r="A66" i="4"/>
  <c r="FQ65" i="4"/>
  <c r="FM65" i="4"/>
  <c r="FI65" i="4"/>
  <c r="FE65" i="4"/>
  <c r="FA65" i="4"/>
  <c r="EW65" i="4"/>
  <c r="ES65" i="4"/>
  <c r="EO65" i="4"/>
  <c r="EK65" i="4"/>
  <c r="EG65" i="4"/>
  <c r="EC65" i="4"/>
  <c r="DY65" i="4"/>
  <c r="DU65" i="4"/>
  <c r="DQ65" i="4"/>
  <c r="DM65" i="4"/>
  <c r="DI65" i="4"/>
  <c r="DE65" i="4"/>
  <c r="DB65" i="4"/>
  <c r="CX65" i="4"/>
  <c r="CT65" i="4"/>
  <c r="CQ65" i="4"/>
  <c r="CM65" i="4"/>
  <c r="CI65" i="4"/>
  <c r="CE65" i="4"/>
  <c r="CB65" i="4"/>
  <c r="BY65" i="4"/>
  <c r="BU65" i="4"/>
  <c r="BQ65" i="4"/>
  <c r="BM65" i="4"/>
  <c r="BI65" i="4"/>
  <c r="BE65" i="4"/>
  <c r="BA65" i="4"/>
  <c r="AW65" i="4"/>
  <c r="AS65" i="4"/>
  <c r="AO65" i="4"/>
  <c r="AK65" i="4"/>
  <c r="AG65" i="4"/>
  <c r="AC65" i="4"/>
  <c r="Y65" i="4"/>
  <c r="U65" i="4"/>
  <c r="R65" i="4"/>
  <c r="P65" i="4"/>
  <c r="L65" i="4"/>
  <c r="H65" i="4"/>
  <c r="A65" i="4"/>
  <c r="FQ64" i="4"/>
  <c r="FM64" i="4"/>
  <c r="FI64" i="4"/>
  <c r="FE64" i="4"/>
  <c r="FA64" i="4"/>
  <c r="EW64" i="4"/>
  <c r="ES64" i="4"/>
  <c r="EO64" i="4"/>
  <c r="EK64" i="4"/>
  <c r="EG64" i="4"/>
  <c r="EC64" i="4"/>
  <c r="DY64" i="4"/>
  <c r="DU64" i="4"/>
  <c r="DQ64" i="4"/>
  <c r="DM64" i="4"/>
  <c r="DI64" i="4"/>
  <c r="DE64" i="4"/>
  <c r="DB64" i="4"/>
  <c r="CX64" i="4"/>
  <c r="CT64" i="4"/>
  <c r="CQ64" i="4"/>
  <c r="CM64" i="4"/>
  <c r="CI64" i="4"/>
  <c r="CE64" i="4"/>
  <c r="CB64" i="4"/>
  <c r="BY64" i="4"/>
  <c r="BU64" i="4"/>
  <c r="BQ64" i="4"/>
  <c r="BM64" i="4"/>
  <c r="BI64" i="4"/>
  <c r="BE64" i="4"/>
  <c r="BA64" i="4"/>
  <c r="AW64" i="4"/>
  <c r="AS64" i="4"/>
  <c r="AO64" i="4"/>
  <c r="AK64" i="4"/>
  <c r="AG64" i="4"/>
  <c r="AC64" i="4"/>
  <c r="Y64" i="4"/>
  <c r="U64" i="4"/>
  <c r="R64" i="4"/>
  <c r="P64" i="4"/>
  <c r="L64" i="4"/>
  <c r="H64" i="4"/>
  <c r="A64" i="4"/>
  <c r="FQ63" i="4"/>
  <c r="FM63" i="4"/>
  <c r="FI63" i="4"/>
  <c r="FE63" i="4"/>
  <c r="FA63" i="4"/>
  <c r="EW63" i="4"/>
  <c r="ES63" i="4"/>
  <c r="EO63" i="4"/>
  <c r="EK63" i="4"/>
  <c r="EG63" i="4"/>
  <c r="EC63" i="4"/>
  <c r="DY63" i="4"/>
  <c r="DU63" i="4"/>
  <c r="DQ63" i="4"/>
  <c r="DM63" i="4"/>
  <c r="DI63" i="4"/>
  <c r="DE63" i="4"/>
  <c r="DB63" i="4"/>
  <c r="CX63" i="4"/>
  <c r="CT63" i="4"/>
  <c r="CQ63" i="4"/>
  <c r="CM63" i="4"/>
  <c r="CI63" i="4"/>
  <c r="CE63" i="4"/>
  <c r="CB63" i="4"/>
  <c r="BY63" i="4"/>
  <c r="BU63" i="4"/>
  <c r="BQ63" i="4"/>
  <c r="BM63" i="4"/>
  <c r="BI63" i="4"/>
  <c r="BE63" i="4"/>
  <c r="BA63" i="4"/>
  <c r="AW63" i="4"/>
  <c r="AS63" i="4"/>
  <c r="AO63" i="4"/>
  <c r="AK63" i="4"/>
  <c r="AG63" i="4"/>
  <c r="AC63" i="4"/>
  <c r="Y63" i="4"/>
  <c r="U63" i="4"/>
  <c r="R63" i="4"/>
  <c r="P63" i="4"/>
  <c r="L63" i="4"/>
  <c r="H63" i="4"/>
  <c r="A63" i="4"/>
  <c r="FQ62" i="4"/>
  <c r="FM62" i="4"/>
  <c r="FI62" i="4"/>
  <c r="FE62" i="4"/>
  <c r="FA62" i="4"/>
  <c r="EW62" i="4"/>
  <c r="ES62" i="4"/>
  <c r="EO62" i="4"/>
  <c r="EK62" i="4"/>
  <c r="EG62" i="4"/>
  <c r="EC62" i="4"/>
  <c r="DY62" i="4"/>
  <c r="DU62" i="4"/>
  <c r="DQ62" i="4"/>
  <c r="DM62" i="4"/>
  <c r="DI62" i="4"/>
  <c r="DE62" i="4"/>
  <c r="DB62" i="4"/>
  <c r="CX62" i="4"/>
  <c r="CT62" i="4"/>
  <c r="CQ62" i="4"/>
  <c r="CM62" i="4"/>
  <c r="CI62" i="4"/>
  <c r="CE62" i="4"/>
  <c r="CB62" i="4"/>
  <c r="BY62" i="4"/>
  <c r="BU62" i="4"/>
  <c r="BQ62" i="4"/>
  <c r="BM62" i="4"/>
  <c r="BI62" i="4"/>
  <c r="BE62" i="4"/>
  <c r="BA62" i="4"/>
  <c r="AW62" i="4"/>
  <c r="AS62" i="4"/>
  <c r="AO62" i="4"/>
  <c r="AK62" i="4"/>
  <c r="AG62" i="4"/>
  <c r="AC62" i="4"/>
  <c r="Y62" i="4"/>
  <c r="U62" i="4"/>
  <c r="R62" i="4"/>
  <c r="P62" i="4"/>
  <c r="L62" i="4"/>
  <c r="H62" i="4"/>
  <c r="A62" i="4"/>
  <c r="FQ61" i="4"/>
  <c r="FM61" i="4"/>
  <c r="FI61" i="4"/>
  <c r="FE61" i="4"/>
  <c r="FA61" i="4"/>
  <c r="EW61" i="4"/>
  <c r="ES61" i="4"/>
  <c r="EO61" i="4"/>
  <c r="EK61" i="4"/>
  <c r="EG61" i="4"/>
  <c r="EC61" i="4"/>
  <c r="DY61" i="4"/>
  <c r="DU61" i="4"/>
  <c r="DQ61" i="4"/>
  <c r="DM61" i="4"/>
  <c r="DI61" i="4"/>
  <c r="DE61" i="4"/>
  <c r="DB61" i="4"/>
  <c r="CX61" i="4"/>
  <c r="CT61" i="4"/>
  <c r="CQ61" i="4"/>
  <c r="CM61" i="4"/>
  <c r="CI61" i="4"/>
  <c r="CE61" i="4"/>
  <c r="CB61" i="4"/>
  <c r="BY61" i="4"/>
  <c r="BU61" i="4"/>
  <c r="BQ61" i="4"/>
  <c r="BM61" i="4"/>
  <c r="BI61" i="4"/>
  <c r="BE61" i="4"/>
  <c r="BA61" i="4"/>
  <c r="AW61" i="4"/>
  <c r="AS61" i="4"/>
  <c r="AO61" i="4"/>
  <c r="AK61" i="4"/>
  <c r="AG61" i="4"/>
  <c r="AC61" i="4"/>
  <c r="Y61" i="4"/>
  <c r="U61" i="4"/>
  <c r="R61" i="4"/>
  <c r="P61" i="4"/>
  <c r="L61" i="4"/>
  <c r="H61" i="4"/>
  <c r="A61" i="4"/>
  <c r="FQ60" i="4"/>
  <c r="FM60" i="4"/>
  <c r="FI60" i="4"/>
  <c r="FE60" i="4"/>
  <c r="FA60" i="4"/>
  <c r="EW60" i="4"/>
  <c r="ES60" i="4"/>
  <c r="EO60" i="4"/>
  <c r="EK60" i="4"/>
  <c r="EG60" i="4"/>
  <c r="EC60" i="4"/>
  <c r="DY60" i="4"/>
  <c r="DU60" i="4"/>
  <c r="DQ60" i="4"/>
  <c r="DM60" i="4"/>
  <c r="DI60" i="4"/>
  <c r="DE60" i="4"/>
  <c r="DB60" i="4"/>
  <c r="CX60" i="4"/>
  <c r="CT60" i="4"/>
  <c r="CQ60" i="4"/>
  <c r="CM60" i="4"/>
  <c r="CI60" i="4"/>
  <c r="CE60" i="4"/>
  <c r="CB60" i="4"/>
  <c r="BY60" i="4"/>
  <c r="BU60" i="4"/>
  <c r="BQ60" i="4"/>
  <c r="BM60" i="4"/>
  <c r="BI60" i="4"/>
  <c r="BE60" i="4"/>
  <c r="BA60" i="4"/>
  <c r="AW60" i="4"/>
  <c r="AS60" i="4"/>
  <c r="AO60" i="4"/>
  <c r="AK60" i="4"/>
  <c r="AG60" i="4"/>
  <c r="AC60" i="4"/>
  <c r="Y60" i="4"/>
  <c r="U60" i="4"/>
  <c r="R60" i="4"/>
  <c r="P60" i="4"/>
  <c r="L60" i="4"/>
  <c r="H60" i="4"/>
  <c r="A60" i="4"/>
  <c r="FQ59" i="4"/>
  <c r="FM59" i="4"/>
  <c r="FI59" i="4"/>
  <c r="FE59" i="4"/>
  <c r="FA59" i="4"/>
  <c r="EW59" i="4"/>
  <c r="ES59" i="4"/>
  <c r="EO59" i="4"/>
  <c r="EK59" i="4"/>
  <c r="EG59" i="4"/>
  <c r="EC59" i="4"/>
  <c r="DY59" i="4"/>
  <c r="DU59" i="4"/>
  <c r="DQ59" i="4"/>
  <c r="DM59" i="4"/>
  <c r="DI59" i="4"/>
  <c r="DE59" i="4"/>
  <c r="DB59" i="4"/>
  <c r="CX59" i="4"/>
  <c r="CT59" i="4"/>
  <c r="CQ59" i="4"/>
  <c r="CM59" i="4"/>
  <c r="CI59" i="4"/>
  <c r="CE59" i="4"/>
  <c r="CB59" i="4"/>
  <c r="BY59" i="4"/>
  <c r="BU59" i="4"/>
  <c r="BQ59" i="4"/>
  <c r="BM59" i="4"/>
  <c r="BI59" i="4"/>
  <c r="BE59" i="4"/>
  <c r="BA59" i="4"/>
  <c r="AW59" i="4"/>
  <c r="AS59" i="4"/>
  <c r="AO59" i="4"/>
  <c r="AK59" i="4"/>
  <c r="AG59" i="4"/>
  <c r="AC59" i="4"/>
  <c r="Y59" i="4"/>
  <c r="U59" i="4"/>
  <c r="R59" i="4"/>
  <c r="P59" i="4"/>
  <c r="L59" i="4"/>
  <c r="H59" i="4"/>
  <c r="A59" i="4"/>
  <c r="FQ58" i="4"/>
  <c r="FM58" i="4"/>
  <c r="FI58" i="4"/>
  <c r="FE58" i="4"/>
  <c r="FA58" i="4"/>
  <c r="EW58" i="4"/>
  <c r="ES58" i="4"/>
  <c r="EO58" i="4"/>
  <c r="EK58" i="4"/>
  <c r="EG58" i="4"/>
  <c r="EC58" i="4"/>
  <c r="DY58" i="4"/>
  <c r="DU58" i="4"/>
  <c r="DQ58" i="4"/>
  <c r="DM58" i="4"/>
  <c r="DI58" i="4"/>
  <c r="DE58" i="4"/>
  <c r="DB58" i="4"/>
  <c r="CX58" i="4"/>
  <c r="CT58" i="4"/>
  <c r="CQ58" i="4"/>
  <c r="CM58" i="4"/>
  <c r="CI58" i="4"/>
  <c r="CE58" i="4"/>
  <c r="CB58" i="4"/>
  <c r="BY58" i="4"/>
  <c r="BU58" i="4"/>
  <c r="BQ58" i="4"/>
  <c r="BM58" i="4"/>
  <c r="BI58" i="4"/>
  <c r="BE58" i="4"/>
  <c r="BA58" i="4"/>
  <c r="AW58" i="4"/>
  <c r="AS58" i="4"/>
  <c r="AO58" i="4"/>
  <c r="AK58" i="4"/>
  <c r="AG58" i="4"/>
  <c r="AC58" i="4"/>
  <c r="Y58" i="4"/>
  <c r="U58" i="4"/>
  <c r="R58" i="4"/>
  <c r="P58" i="4"/>
  <c r="L58" i="4"/>
  <c r="H58" i="4"/>
  <c r="A58" i="4"/>
  <c r="FQ57" i="4"/>
  <c r="FM57" i="4"/>
  <c r="FI57" i="4"/>
  <c r="FE57" i="4"/>
  <c r="FA57" i="4"/>
  <c r="EW57" i="4"/>
  <c r="ES57" i="4"/>
  <c r="EO57" i="4"/>
  <c r="EK57" i="4"/>
  <c r="EG57" i="4"/>
  <c r="EC57" i="4"/>
  <c r="DY57" i="4"/>
  <c r="DU57" i="4"/>
  <c r="DQ57" i="4"/>
  <c r="DM57" i="4"/>
  <c r="DI57" i="4"/>
  <c r="DE57" i="4"/>
  <c r="DB57" i="4"/>
  <c r="CX57" i="4"/>
  <c r="CT57" i="4"/>
  <c r="CQ57" i="4"/>
  <c r="CM57" i="4"/>
  <c r="CI57" i="4"/>
  <c r="CE57" i="4"/>
  <c r="CB57" i="4"/>
  <c r="BY57" i="4"/>
  <c r="BU57" i="4"/>
  <c r="BQ57" i="4"/>
  <c r="BM57" i="4"/>
  <c r="BI57" i="4"/>
  <c r="BE57" i="4"/>
  <c r="BA57" i="4"/>
  <c r="AW57" i="4"/>
  <c r="AS57" i="4"/>
  <c r="AO57" i="4"/>
  <c r="AK57" i="4"/>
  <c r="AG57" i="4"/>
  <c r="AC57" i="4"/>
  <c r="Y57" i="4"/>
  <c r="U57" i="4"/>
  <c r="R57" i="4"/>
  <c r="P57" i="4"/>
  <c r="L57" i="4"/>
  <c r="H57" i="4"/>
  <c r="A57" i="4"/>
  <c r="FQ56" i="4"/>
  <c r="FM56" i="4"/>
  <c r="FI56" i="4"/>
  <c r="FE56" i="4"/>
  <c r="FA56" i="4"/>
  <c r="EW56" i="4"/>
  <c r="ES56" i="4"/>
  <c r="EO56" i="4"/>
  <c r="EK56" i="4"/>
  <c r="EG56" i="4"/>
  <c r="EC56" i="4"/>
  <c r="DY56" i="4"/>
  <c r="DU56" i="4"/>
  <c r="DQ56" i="4"/>
  <c r="DM56" i="4"/>
  <c r="DI56" i="4"/>
  <c r="DE56" i="4"/>
  <c r="DB56" i="4"/>
  <c r="CX56" i="4"/>
  <c r="CT56" i="4"/>
  <c r="CQ56" i="4"/>
  <c r="CM56" i="4"/>
  <c r="CI56" i="4"/>
  <c r="CE56" i="4"/>
  <c r="CB56" i="4"/>
  <c r="BY56" i="4"/>
  <c r="BU56" i="4"/>
  <c r="BQ56" i="4"/>
  <c r="BM56" i="4"/>
  <c r="BI56" i="4"/>
  <c r="BE56" i="4"/>
  <c r="BA56" i="4"/>
  <c r="AW56" i="4"/>
  <c r="AS56" i="4"/>
  <c r="AO56" i="4"/>
  <c r="AK56" i="4"/>
  <c r="AG56" i="4"/>
  <c r="AC56" i="4"/>
  <c r="Y56" i="4"/>
  <c r="U56" i="4"/>
  <c r="R56" i="4"/>
  <c r="P56" i="4"/>
  <c r="L56" i="4"/>
  <c r="H56" i="4"/>
  <c r="A56" i="4"/>
  <c r="FQ55" i="4"/>
  <c r="FM55" i="4"/>
  <c r="FI55" i="4"/>
  <c r="FE55" i="4"/>
  <c r="FA55" i="4"/>
  <c r="EW55" i="4"/>
  <c r="ES55" i="4"/>
  <c r="EO55" i="4"/>
  <c r="EK55" i="4"/>
  <c r="EG55" i="4"/>
  <c r="EC55" i="4"/>
  <c r="DY55" i="4"/>
  <c r="DU55" i="4"/>
  <c r="DQ55" i="4"/>
  <c r="DM55" i="4"/>
  <c r="DI55" i="4"/>
  <c r="DE55" i="4"/>
  <c r="DB55" i="4"/>
  <c r="CX55" i="4"/>
  <c r="CT55" i="4"/>
  <c r="CQ55" i="4"/>
  <c r="CM55" i="4"/>
  <c r="CI55" i="4"/>
  <c r="CE55" i="4"/>
  <c r="CB55" i="4"/>
  <c r="BY55" i="4"/>
  <c r="BU55" i="4"/>
  <c r="BQ55" i="4"/>
  <c r="BM55" i="4"/>
  <c r="BI55" i="4"/>
  <c r="BE55" i="4"/>
  <c r="BA55" i="4"/>
  <c r="AW55" i="4"/>
  <c r="AS55" i="4"/>
  <c r="AO55" i="4"/>
  <c r="AK55" i="4"/>
  <c r="AG55" i="4"/>
  <c r="AC55" i="4"/>
  <c r="Y55" i="4"/>
  <c r="U55" i="4"/>
  <c r="R55" i="4"/>
  <c r="P55" i="4"/>
  <c r="L55" i="4"/>
  <c r="H55" i="4"/>
  <c r="A55" i="4"/>
  <c r="FQ54" i="4"/>
  <c r="FM54" i="4"/>
  <c r="FI54" i="4"/>
  <c r="FE54" i="4"/>
  <c r="FA54" i="4"/>
  <c r="EW54" i="4"/>
  <c r="ES54" i="4"/>
  <c r="EO54" i="4"/>
  <c r="EK54" i="4"/>
  <c r="EG54" i="4"/>
  <c r="EC54" i="4"/>
  <c r="DY54" i="4"/>
  <c r="DU54" i="4"/>
  <c r="DQ54" i="4"/>
  <c r="DM54" i="4"/>
  <c r="DI54" i="4"/>
  <c r="DE54" i="4"/>
  <c r="DB54" i="4"/>
  <c r="CX54" i="4"/>
  <c r="CT54" i="4"/>
  <c r="CQ54" i="4"/>
  <c r="CM54" i="4"/>
  <c r="CI54" i="4"/>
  <c r="CE54" i="4"/>
  <c r="CB54" i="4"/>
  <c r="BY54" i="4"/>
  <c r="BU54" i="4"/>
  <c r="BQ54" i="4"/>
  <c r="BM54" i="4"/>
  <c r="BI54" i="4"/>
  <c r="BE54" i="4"/>
  <c r="BA54" i="4"/>
  <c r="AW54" i="4"/>
  <c r="AS54" i="4"/>
  <c r="AO54" i="4"/>
  <c r="AK54" i="4"/>
  <c r="AG54" i="4"/>
  <c r="AC54" i="4"/>
  <c r="Y54" i="4"/>
  <c r="U54" i="4"/>
  <c r="R54" i="4"/>
  <c r="P54" i="4"/>
  <c r="L54" i="4"/>
  <c r="H54" i="4"/>
  <c r="A54" i="4"/>
  <c r="FQ53" i="4"/>
  <c r="FM53" i="4"/>
  <c r="FI53" i="4"/>
  <c r="FE53" i="4"/>
  <c r="FA53" i="4"/>
  <c r="EW53" i="4"/>
  <c r="ES53" i="4"/>
  <c r="EO53" i="4"/>
  <c r="EK53" i="4"/>
  <c r="EG53" i="4"/>
  <c r="EC53" i="4"/>
  <c r="DY53" i="4"/>
  <c r="DU53" i="4"/>
  <c r="DQ53" i="4"/>
  <c r="DM53" i="4"/>
  <c r="DI53" i="4"/>
  <c r="DE53" i="4"/>
  <c r="DB53" i="4"/>
  <c r="CX53" i="4"/>
  <c r="CT53" i="4"/>
  <c r="CQ53" i="4"/>
  <c r="CM53" i="4"/>
  <c r="CI53" i="4"/>
  <c r="CE53" i="4"/>
  <c r="CB53" i="4"/>
  <c r="BY53" i="4"/>
  <c r="BU53" i="4"/>
  <c r="BQ53" i="4"/>
  <c r="BM53" i="4"/>
  <c r="BI53" i="4"/>
  <c r="BE53" i="4"/>
  <c r="BA53" i="4"/>
  <c r="AW53" i="4"/>
  <c r="AS53" i="4"/>
  <c r="AO53" i="4"/>
  <c r="AK53" i="4"/>
  <c r="AG53" i="4"/>
  <c r="AC53" i="4"/>
  <c r="Y53" i="4"/>
  <c r="U53" i="4"/>
  <c r="R53" i="4"/>
  <c r="P53" i="4"/>
  <c r="L53" i="4"/>
  <c r="H53" i="4"/>
  <c r="A53" i="4"/>
  <c r="FQ52" i="4"/>
  <c r="FM52" i="4"/>
  <c r="FI52" i="4"/>
  <c r="FE52" i="4"/>
  <c r="FA52" i="4"/>
  <c r="EW52" i="4"/>
  <c r="ES52" i="4"/>
  <c r="EO52" i="4"/>
  <c r="EK52" i="4"/>
  <c r="EG52" i="4"/>
  <c r="EC52" i="4"/>
  <c r="DY52" i="4"/>
  <c r="DU52" i="4"/>
  <c r="DQ52" i="4"/>
  <c r="DM52" i="4"/>
  <c r="DI52" i="4"/>
  <c r="DE52" i="4"/>
  <c r="DB52" i="4"/>
  <c r="CX52" i="4"/>
  <c r="CT52" i="4"/>
  <c r="CQ52" i="4"/>
  <c r="CM52" i="4"/>
  <c r="CI52" i="4"/>
  <c r="CE52" i="4"/>
  <c r="CB52" i="4"/>
  <c r="BY52" i="4"/>
  <c r="BU52" i="4"/>
  <c r="BQ52" i="4"/>
  <c r="BM52" i="4"/>
  <c r="BI52" i="4"/>
  <c r="BE52" i="4"/>
  <c r="BA52" i="4"/>
  <c r="AW52" i="4"/>
  <c r="AS52" i="4"/>
  <c r="AO52" i="4"/>
  <c r="AK52" i="4"/>
  <c r="AG52" i="4"/>
  <c r="AC52" i="4"/>
  <c r="Y52" i="4"/>
  <c r="U52" i="4"/>
  <c r="R52" i="4"/>
  <c r="P52" i="4"/>
  <c r="L52" i="4"/>
  <c r="H52" i="4"/>
  <c r="A52" i="4"/>
  <c r="FQ51" i="4"/>
  <c r="FM51" i="4"/>
  <c r="FI51" i="4"/>
  <c r="FE51" i="4"/>
  <c r="FA51" i="4"/>
  <c r="EW51" i="4"/>
  <c r="ES51" i="4"/>
  <c r="EO51" i="4"/>
  <c r="EK51" i="4"/>
  <c r="EG51" i="4"/>
  <c r="EC51" i="4"/>
  <c r="DY51" i="4"/>
  <c r="DU51" i="4"/>
  <c r="DQ51" i="4"/>
  <c r="DM51" i="4"/>
  <c r="DI51" i="4"/>
  <c r="DE51" i="4"/>
  <c r="DB51" i="4"/>
  <c r="CX51" i="4"/>
  <c r="CT51" i="4"/>
  <c r="CQ51" i="4"/>
  <c r="CM51" i="4"/>
  <c r="CI51" i="4"/>
  <c r="CE51" i="4"/>
  <c r="CB51" i="4"/>
  <c r="BY51" i="4"/>
  <c r="BU51" i="4"/>
  <c r="BQ51" i="4"/>
  <c r="BM51" i="4"/>
  <c r="BI51" i="4"/>
  <c r="BE51" i="4"/>
  <c r="BA51" i="4"/>
  <c r="AW51" i="4"/>
  <c r="AS51" i="4"/>
  <c r="AO51" i="4"/>
  <c r="AK51" i="4"/>
  <c r="AG51" i="4"/>
  <c r="AC51" i="4"/>
  <c r="Y51" i="4"/>
  <c r="U51" i="4"/>
  <c r="R51" i="4"/>
  <c r="P51" i="4"/>
  <c r="L51" i="4"/>
  <c r="H51" i="4"/>
  <c r="A51" i="4"/>
  <c r="FQ50" i="4"/>
  <c r="FM50" i="4"/>
  <c r="FI50" i="4"/>
  <c r="FE50" i="4"/>
  <c r="FA50" i="4"/>
  <c r="EW50" i="4"/>
  <c r="ES50" i="4"/>
  <c r="EO50" i="4"/>
  <c r="EK50" i="4"/>
  <c r="EG50" i="4"/>
  <c r="EC50" i="4"/>
  <c r="DY50" i="4"/>
  <c r="DU50" i="4"/>
  <c r="DQ50" i="4"/>
  <c r="DM50" i="4"/>
  <c r="DI50" i="4"/>
  <c r="DE50" i="4"/>
  <c r="DB50" i="4"/>
  <c r="CX50" i="4"/>
  <c r="CT50" i="4"/>
  <c r="CQ50" i="4"/>
  <c r="CM50" i="4"/>
  <c r="CI50" i="4"/>
  <c r="CE50" i="4"/>
  <c r="CB50" i="4"/>
  <c r="BY50" i="4"/>
  <c r="BU50" i="4"/>
  <c r="BQ50" i="4"/>
  <c r="BM50" i="4"/>
  <c r="BI50" i="4"/>
  <c r="BE50" i="4"/>
  <c r="BA50" i="4"/>
  <c r="AW50" i="4"/>
  <c r="AS50" i="4"/>
  <c r="AO50" i="4"/>
  <c r="AK50" i="4"/>
  <c r="AG50" i="4"/>
  <c r="AC50" i="4"/>
  <c r="Y50" i="4"/>
  <c r="U50" i="4"/>
  <c r="R50" i="4"/>
  <c r="P50" i="4"/>
  <c r="L50" i="4"/>
  <c r="H50" i="4"/>
  <c r="A50" i="4"/>
  <c r="FQ49" i="4"/>
  <c r="FM49" i="4"/>
  <c r="FI49" i="4"/>
  <c r="FE49" i="4"/>
  <c r="FA49" i="4"/>
  <c r="EW49" i="4"/>
  <c r="ES49" i="4"/>
  <c r="EO49" i="4"/>
  <c r="EK49" i="4"/>
  <c r="EG49" i="4"/>
  <c r="EC49" i="4"/>
  <c r="DY49" i="4"/>
  <c r="DU49" i="4"/>
  <c r="DQ49" i="4"/>
  <c r="DM49" i="4"/>
  <c r="DI49" i="4"/>
  <c r="DE49" i="4"/>
  <c r="DB49" i="4"/>
  <c r="CX49" i="4"/>
  <c r="CT49" i="4"/>
  <c r="CQ49" i="4"/>
  <c r="CM49" i="4"/>
  <c r="CI49" i="4"/>
  <c r="CE49" i="4"/>
  <c r="CB49" i="4"/>
  <c r="BY49" i="4"/>
  <c r="BU49" i="4"/>
  <c r="BQ49" i="4"/>
  <c r="BM49" i="4"/>
  <c r="BI49" i="4"/>
  <c r="BE49" i="4"/>
  <c r="BA49" i="4"/>
  <c r="AW49" i="4"/>
  <c r="AS49" i="4"/>
  <c r="AO49" i="4"/>
  <c r="AK49" i="4"/>
  <c r="AG49" i="4"/>
  <c r="AC49" i="4"/>
  <c r="Y49" i="4"/>
  <c r="U49" i="4"/>
  <c r="R49" i="4"/>
  <c r="P49" i="4"/>
  <c r="L49" i="4"/>
  <c r="H49" i="4"/>
  <c r="A49" i="4"/>
  <c r="FQ48" i="4"/>
  <c r="FM48" i="4"/>
  <c r="FI48" i="4"/>
  <c r="FE48" i="4"/>
  <c r="FA48" i="4"/>
  <c r="EW48" i="4"/>
  <c r="ES48" i="4"/>
  <c r="EO48" i="4"/>
  <c r="EK48" i="4"/>
  <c r="EG48" i="4"/>
  <c r="EC48" i="4"/>
  <c r="DY48" i="4"/>
  <c r="DU48" i="4"/>
  <c r="DQ48" i="4"/>
  <c r="DM48" i="4"/>
  <c r="DI48" i="4"/>
  <c r="DE48" i="4"/>
  <c r="DB48" i="4"/>
  <c r="CX48" i="4"/>
  <c r="CT48" i="4"/>
  <c r="CQ48" i="4"/>
  <c r="CM48" i="4"/>
  <c r="CI48" i="4"/>
  <c r="CE48" i="4"/>
  <c r="CB48" i="4"/>
  <c r="BY48" i="4"/>
  <c r="BU48" i="4"/>
  <c r="BQ48" i="4"/>
  <c r="BM48" i="4"/>
  <c r="BI48" i="4"/>
  <c r="BE48" i="4"/>
  <c r="BA48" i="4"/>
  <c r="AW48" i="4"/>
  <c r="AS48" i="4"/>
  <c r="AO48" i="4"/>
  <c r="AK48" i="4"/>
  <c r="AG48" i="4"/>
  <c r="AC48" i="4"/>
  <c r="Y48" i="4"/>
  <c r="U48" i="4"/>
  <c r="R48" i="4"/>
  <c r="P48" i="4"/>
  <c r="L48" i="4"/>
  <c r="H48" i="4"/>
  <c r="A48" i="4"/>
  <c r="FQ47" i="4"/>
  <c r="FM47" i="4"/>
  <c r="FI47" i="4"/>
  <c r="FE47" i="4"/>
  <c r="FA47" i="4"/>
  <c r="EW47" i="4"/>
  <c r="ES47" i="4"/>
  <c r="EO47" i="4"/>
  <c r="EK47" i="4"/>
  <c r="EG47" i="4"/>
  <c r="EC47" i="4"/>
  <c r="DY47" i="4"/>
  <c r="DU47" i="4"/>
  <c r="DQ47" i="4"/>
  <c r="DM47" i="4"/>
  <c r="DI47" i="4"/>
  <c r="DE47" i="4"/>
  <c r="DB47" i="4"/>
  <c r="CX47" i="4"/>
  <c r="CT47" i="4"/>
  <c r="CQ47" i="4"/>
  <c r="CM47" i="4"/>
  <c r="CI47" i="4"/>
  <c r="CE47" i="4"/>
  <c r="CB47" i="4"/>
  <c r="BY47" i="4"/>
  <c r="BU47" i="4"/>
  <c r="BQ47" i="4"/>
  <c r="BM47" i="4"/>
  <c r="BI47" i="4"/>
  <c r="BE47" i="4"/>
  <c r="BA47" i="4"/>
  <c r="AW47" i="4"/>
  <c r="AS47" i="4"/>
  <c r="AO47" i="4"/>
  <c r="AK47" i="4"/>
  <c r="AG47" i="4"/>
  <c r="AC47" i="4"/>
  <c r="Y47" i="4"/>
  <c r="U47" i="4"/>
  <c r="R47" i="4"/>
  <c r="P47" i="4"/>
  <c r="L47" i="4"/>
  <c r="H47" i="4"/>
  <c r="A47" i="4"/>
  <c r="FQ46" i="4"/>
  <c r="FM46" i="4"/>
  <c r="FI46" i="4"/>
  <c r="FE46" i="4"/>
  <c r="FA46" i="4"/>
  <c r="EW46" i="4"/>
  <c r="ES46" i="4"/>
  <c r="EO46" i="4"/>
  <c r="EK46" i="4"/>
  <c r="EG46" i="4"/>
  <c r="EC46" i="4"/>
  <c r="DY46" i="4"/>
  <c r="DU46" i="4"/>
  <c r="DQ46" i="4"/>
  <c r="DM46" i="4"/>
  <c r="DI46" i="4"/>
  <c r="DE46" i="4"/>
  <c r="DB46" i="4"/>
  <c r="CX46" i="4"/>
  <c r="CT46" i="4"/>
  <c r="CQ46" i="4"/>
  <c r="CM46" i="4"/>
  <c r="CI46" i="4"/>
  <c r="CE46" i="4"/>
  <c r="CB46" i="4"/>
  <c r="BY46" i="4"/>
  <c r="BU46" i="4"/>
  <c r="BQ46" i="4"/>
  <c r="BM46" i="4"/>
  <c r="BI46" i="4"/>
  <c r="BE46" i="4"/>
  <c r="BA46" i="4"/>
  <c r="AW46" i="4"/>
  <c r="AS46" i="4"/>
  <c r="AO46" i="4"/>
  <c r="AK46" i="4"/>
  <c r="AG46" i="4"/>
  <c r="AC46" i="4"/>
  <c r="Y46" i="4"/>
  <c r="U46" i="4"/>
  <c r="R46" i="4"/>
  <c r="P46" i="4"/>
  <c r="L46" i="4"/>
  <c r="H46" i="4"/>
  <c r="A46" i="4"/>
  <c r="FQ45" i="4"/>
  <c r="FM45" i="4"/>
  <c r="FI45" i="4"/>
  <c r="FE45" i="4"/>
  <c r="FA45" i="4"/>
  <c r="EW45" i="4"/>
  <c r="ES45" i="4"/>
  <c r="EO45" i="4"/>
  <c r="EK45" i="4"/>
  <c r="EG45" i="4"/>
  <c r="EC45" i="4"/>
  <c r="DY45" i="4"/>
  <c r="DU45" i="4"/>
  <c r="DQ45" i="4"/>
  <c r="DM45" i="4"/>
  <c r="DI45" i="4"/>
  <c r="DE45" i="4"/>
  <c r="DB45" i="4"/>
  <c r="CX45" i="4"/>
  <c r="CT45" i="4"/>
  <c r="CQ45" i="4"/>
  <c r="CM45" i="4"/>
  <c r="CI45" i="4"/>
  <c r="CE45" i="4"/>
  <c r="CB45" i="4"/>
  <c r="BY45" i="4"/>
  <c r="BU45" i="4"/>
  <c r="BQ45" i="4"/>
  <c r="BM45" i="4"/>
  <c r="BI45" i="4"/>
  <c r="BE45" i="4"/>
  <c r="BA45" i="4"/>
  <c r="AW45" i="4"/>
  <c r="AS45" i="4"/>
  <c r="AO45" i="4"/>
  <c r="AK45" i="4"/>
  <c r="AG45" i="4"/>
  <c r="AC45" i="4"/>
  <c r="Y45" i="4"/>
  <c r="U45" i="4"/>
  <c r="R45" i="4"/>
  <c r="P45" i="4"/>
  <c r="L45" i="4"/>
  <c r="H45" i="4"/>
  <c r="A45" i="4"/>
  <c r="FQ44" i="4"/>
  <c r="FM44" i="4"/>
  <c r="FI44" i="4"/>
  <c r="FE44" i="4"/>
  <c r="FA44" i="4"/>
  <c r="EW44" i="4"/>
  <c r="ES44" i="4"/>
  <c r="EO44" i="4"/>
  <c r="EK44" i="4"/>
  <c r="EG44" i="4"/>
  <c r="EC44" i="4"/>
  <c r="DY44" i="4"/>
  <c r="DU44" i="4"/>
  <c r="DQ44" i="4"/>
  <c r="DM44" i="4"/>
  <c r="DI44" i="4"/>
  <c r="DE44" i="4"/>
  <c r="DB44" i="4"/>
  <c r="CX44" i="4"/>
  <c r="CT44" i="4"/>
  <c r="CQ44" i="4"/>
  <c r="CM44" i="4"/>
  <c r="CI44" i="4"/>
  <c r="CE44" i="4"/>
  <c r="CB44" i="4"/>
  <c r="BY44" i="4"/>
  <c r="BU44" i="4"/>
  <c r="BQ44" i="4"/>
  <c r="BM44" i="4"/>
  <c r="BI44" i="4"/>
  <c r="BE44" i="4"/>
  <c r="BA44" i="4"/>
  <c r="AW44" i="4"/>
  <c r="AS44" i="4"/>
  <c r="AO44" i="4"/>
  <c r="AK44" i="4"/>
  <c r="AG44" i="4"/>
  <c r="AC44" i="4"/>
  <c r="Y44" i="4"/>
  <c r="U44" i="4"/>
  <c r="R44" i="4"/>
  <c r="P44" i="4"/>
  <c r="L44" i="4"/>
  <c r="H44" i="4"/>
  <c r="A44" i="4"/>
  <c r="FQ43" i="4"/>
  <c r="FM43" i="4"/>
  <c r="FI43" i="4"/>
  <c r="FE43" i="4"/>
  <c r="FA43" i="4"/>
  <c r="EW43" i="4"/>
  <c r="ES43" i="4"/>
  <c r="EO43" i="4"/>
  <c r="EK43" i="4"/>
  <c r="EG43" i="4"/>
  <c r="EC43" i="4"/>
  <c r="DY43" i="4"/>
  <c r="DU43" i="4"/>
  <c r="DQ43" i="4"/>
  <c r="DM43" i="4"/>
  <c r="DI43" i="4"/>
  <c r="DE43" i="4"/>
  <c r="DB43" i="4"/>
  <c r="CX43" i="4"/>
  <c r="CT43" i="4"/>
  <c r="CQ43" i="4"/>
  <c r="CM43" i="4"/>
  <c r="CI43" i="4"/>
  <c r="CE43" i="4"/>
  <c r="CB43" i="4"/>
  <c r="BY43" i="4"/>
  <c r="BU43" i="4"/>
  <c r="BQ43" i="4"/>
  <c r="BM43" i="4"/>
  <c r="BI43" i="4"/>
  <c r="BE43" i="4"/>
  <c r="BA43" i="4"/>
  <c r="AW43" i="4"/>
  <c r="AS43" i="4"/>
  <c r="AO43" i="4"/>
  <c r="AK43" i="4"/>
  <c r="AG43" i="4"/>
  <c r="AC43" i="4"/>
  <c r="Y43" i="4"/>
  <c r="U43" i="4"/>
  <c r="R43" i="4"/>
  <c r="P43" i="4"/>
  <c r="L43" i="4"/>
  <c r="H43" i="4"/>
  <c r="A43" i="4"/>
  <c r="FQ42" i="4"/>
  <c r="FM42" i="4"/>
  <c r="FI42" i="4"/>
  <c r="FE42" i="4"/>
  <c r="FA42" i="4"/>
  <c r="EW42" i="4"/>
  <c r="ES42" i="4"/>
  <c r="EO42" i="4"/>
  <c r="EK42" i="4"/>
  <c r="EG42" i="4"/>
  <c r="EC42" i="4"/>
  <c r="DY42" i="4"/>
  <c r="DU42" i="4"/>
  <c r="DQ42" i="4"/>
  <c r="DM42" i="4"/>
  <c r="DI42" i="4"/>
  <c r="DE42" i="4"/>
  <c r="DB42" i="4"/>
  <c r="CX42" i="4"/>
  <c r="CT42" i="4"/>
  <c r="CQ42" i="4"/>
  <c r="CM42" i="4"/>
  <c r="CI42" i="4"/>
  <c r="CE42" i="4"/>
  <c r="CB42" i="4"/>
  <c r="BY42" i="4"/>
  <c r="BU42" i="4"/>
  <c r="BQ42" i="4"/>
  <c r="BM42" i="4"/>
  <c r="BI42" i="4"/>
  <c r="BE42" i="4"/>
  <c r="BA42" i="4"/>
  <c r="AW42" i="4"/>
  <c r="AS42" i="4"/>
  <c r="AO42" i="4"/>
  <c r="AK42" i="4"/>
  <c r="AG42" i="4"/>
  <c r="AC42" i="4"/>
  <c r="Y42" i="4"/>
  <c r="U42" i="4"/>
  <c r="R42" i="4"/>
  <c r="P42" i="4"/>
  <c r="L42" i="4"/>
  <c r="H42" i="4"/>
  <c r="A42" i="4"/>
  <c r="FQ41" i="4"/>
  <c r="FM41" i="4"/>
  <c r="FI41" i="4"/>
  <c r="FE41" i="4"/>
  <c r="FA41" i="4"/>
  <c r="EW41" i="4"/>
  <c r="ES41" i="4"/>
  <c r="EO41" i="4"/>
  <c r="EK41" i="4"/>
  <c r="EG41" i="4"/>
  <c r="EC41" i="4"/>
  <c r="DY41" i="4"/>
  <c r="DU41" i="4"/>
  <c r="DQ41" i="4"/>
  <c r="DM41" i="4"/>
  <c r="DI41" i="4"/>
  <c r="DE41" i="4"/>
  <c r="DB41" i="4"/>
  <c r="CX41" i="4"/>
  <c r="CT41" i="4"/>
  <c r="CQ41" i="4"/>
  <c r="CM41" i="4"/>
  <c r="CI41" i="4"/>
  <c r="CE41" i="4"/>
  <c r="CB41" i="4"/>
  <c r="BY41" i="4"/>
  <c r="BU41" i="4"/>
  <c r="BQ41" i="4"/>
  <c r="BM41" i="4"/>
  <c r="BI41" i="4"/>
  <c r="BE41" i="4"/>
  <c r="BA41" i="4"/>
  <c r="AW41" i="4"/>
  <c r="AS41" i="4"/>
  <c r="AO41" i="4"/>
  <c r="AK41" i="4"/>
  <c r="AG41" i="4"/>
  <c r="AC41" i="4"/>
  <c r="Y41" i="4"/>
  <c r="U41" i="4"/>
  <c r="R41" i="4"/>
  <c r="P41" i="4"/>
  <c r="L41" i="4"/>
  <c r="H41" i="4"/>
  <c r="A41" i="4"/>
  <c r="FQ40" i="4"/>
  <c r="FM40" i="4"/>
  <c r="FI40" i="4"/>
  <c r="FE40" i="4"/>
  <c r="FA40" i="4"/>
  <c r="EW40" i="4"/>
  <c r="ES40" i="4"/>
  <c r="EO40" i="4"/>
  <c r="EK40" i="4"/>
  <c r="EG40" i="4"/>
  <c r="EC40" i="4"/>
  <c r="DY40" i="4"/>
  <c r="DU40" i="4"/>
  <c r="DQ40" i="4"/>
  <c r="DM40" i="4"/>
  <c r="DI40" i="4"/>
  <c r="DE40" i="4"/>
  <c r="DB40" i="4"/>
  <c r="CX40" i="4"/>
  <c r="CT40" i="4"/>
  <c r="CQ40" i="4"/>
  <c r="CM40" i="4"/>
  <c r="CI40" i="4"/>
  <c r="CE40" i="4"/>
  <c r="CB40" i="4"/>
  <c r="BY40" i="4"/>
  <c r="BU40" i="4"/>
  <c r="BQ40" i="4"/>
  <c r="BM40" i="4"/>
  <c r="BI40" i="4"/>
  <c r="BE40" i="4"/>
  <c r="BA40" i="4"/>
  <c r="AW40" i="4"/>
  <c r="AS40" i="4"/>
  <c r="AO40" i="4"/>
  <c r="AK40" i="4"/>
  <c r="AG40" i="4"/>
  <c r="AC40" i="4"/>
  <c r="Y40" i="4"/>
  <c r="U40" i="4"/>
  <c r="R40" i="4"/>
  <c r="P40" i="4"/>
  <c r="L40" i="4"/>
  <c r="H40" i="4"/>
  <c r="A40" i="4"/>
  <c r="FQ39" i="4"/>
  <c r="FM39" i="4"/>
  <c r="FI39" i="4"/>
  <c r="FE39" i="4"/>
  <c r="FA39" i="4"/>
  <c r="EW39" i="4"/>
  <c r="ES39" i="4"/>
  <c r="EO39" i="4"/>
  <c r="EK39" i="4"/>
  <c r="EG39" i="4"/>
  <c r="EC39" i="4"/>
  <c r="DY39" i="4"/>
  <c r="DU39" i="4"/>
  <c r="DQ39" i="4"/>
  <c r="DM39" i="4"/>
  <c r="DI39" i="4"/>
  <c r="DE39" i="4"/>
  <c r="DB39" i="4"/>
  <c r="CX39" i="4"/>
  <c r="CT39" i="4"/>
  <c r="CQ39" i="4"/>
  <c r="CM39" i="4"/>
  <c r="CI39" i="4"/>
  <c r="CE39" i="4"/>
  <c r="CB39" i="4"/>
  <c r="BY39" i="4"/>
  <c r="BU39" i="4"/>
  <c r="BQ39" i="4"/>
  <c r="BM39" i="4"/>
  <c r="BI39" i="4"/>
  <c r="BE39" i="4"/>
  <c r="BA39" i="4"/>
  <c r="AW39" i="4"/>
  <c r="AS39" i="4"/>
  <c r="AO39" i="4"/>
  <c r="AK39" i="4"/>
  <c r="AG39" i="4"/>
  <c r="AC39" i="4"/>
  <c r="Y39" i="4"/>
  <c r="U39" i="4"/>
  <c r="R39" i="4"/>
  <c r="P39" i="4"/>
  <c r="L39" i="4"/>
  <c r="H39" i="4"/>
  <c r="A39" i="4"/>
  <c r="FQ38" i="4"/>
  <c r="FM38" i="4"/>
  <c r="FI38" i="4"/>
  <c r="FE38" i="4"/>
  <c r="FA38" i="4"/>
  <c r="EW38" i="4"/>
  <c r="ES38" i="4"/>
  <c r="EO38" i="4"/>
  <c r="EK38" i="4"/>
  <c r="EG38" i="4"/>
  <c r="EC38" i="4"/>
  <c r="DY38" i="4"/>
  <c r="DU38" i="4"/>
  <c r="DQ38" i="4"/>
  <c r="DM38" i="4"/>
  <c r="DI38" i="4"/>
  <c r="DE38" i="4"/>
  <c r="DB38" i="4"/>
  <c r="CX38" i="4"/>
  <c r="CT38" i="4"/>
  <c r="CQ38" i="4"/>
  <c r="CM38" i="4"/>
  <c r="CI38" i="4"/>
  <c r="CE38" i="4"/>
  <c r="CB38" i="4"/>
  <c r="BY38" i="4"/>
  <c r="BU38" i="4"/>
  <c r="BQ38" i="4"/>
  <c r="BM38" i="4"/>
  <c r="BI38" i="4"/>
  <c r="BE38" i="4"/>
  <c r="BA38" i="4"/>
  <c r="AW38" i="4"/>
  <c r="AS38" i="4"/>
  <c r="AO38" i="4"/>
  <c r="AK38" i="4"/>
  <c r="AG38" i="4"/>
  <c r="AC38" i="4"/>
  <c r="Y38" i="4"/>
  <c r="U38" i="4"/>
  <c r="R38" i="4"/>
  <c r="P38" i="4"/>
  <c r="L38" i="4"/>
  <c r="H38" i="4"/>
  <c r="A38" i="4"/>
  <c r="FQ37" i="4"/>
  <c r="FM37" i="4"/>
  <c r="FI37" i="4"/>
  <c r="FE37" i="4"/>
  <c r="FA37" i="4"/>
  <c r="EW37" i="4"/>
  <c r="ES37" i="4"/>
  <c r="EO37" i="4"/>
  <c r="EK37" i="4"/>
  <c r="EG37" i="4"/>
  <c r="EC37" i="4"/>
  <c r="DY37" i="4"/>
  <c r="DU37" i="4"/>
  <c r="DQ37" i="4"/>
  <c r="DM37" i="4"/>
  <c r="DI37" i="4"/>
  <c r="DE37" i="4"/>
  <c r="DB37" i="4"/>
  <c r="CX37" i="4"/>
  <c r="CT37" i="4"/>
  <c r="CQ37" i="4"/>
  <c r="CM37" i="4"/>
  <c r="CI37" i="4"/>
  <c r="CE37" i="4"/>
  <c r="CB37" i="4"/>
  <c r="BY37" i="4"/>
  <c r="BU37" i="4"/>
  <c r="BQ37" i="4"/>
  <c r="BM37" i="4"/>
  <c r="BI37" i="4"/>
  <c r="BE37" i="4"/>
  <c r="BA37" i="4"/>
  <c r="AW37" i="4"/>
  <c r="AS37" i="4"/>
  <c r="AO37" i="4"/>
  <c r="AK37" i="4"/>
  <c r="AG37" i="4"/>
  <c r="AC37" i="4"/>
  <c r="Y37" i="4"/>
  <c r="U37" i="4"/>
  <c r="R37" i="4"/>
  <c r="P37" i="4"/>
  <c r="L37" i="4"/>
  <c r="H37" i="4"/>
  <c r="A37" i="4"/>
  <c r="FQ36" i="4"/>
  <c r="FM36" i="4"/>
  <c r="FI36" i="4"/>
  <c r="FE36" i="4"/>
  <c r="FA36" i="4"/>
  <c r="EW36" i="4"/>
  <c r="ES36" i="4"/>
  <c r="EO36" i="4"/>
  <c r="EK36" i="4"/>
  <c r="EG36" i="4"/>
  <c r="EC36" i="4"/>
  <c r="DY36" i="4"/>
  <c r="DU36" i="4"/>
  <c r="DQ36" i="4"/>
  <c r="DM36" i="4"/>
  <c r="DI36" i="4"/>
  <c r="DE36" i="4"/>
  <c r="DB36" i="4"/>
  <c r="CX36" i="4"/>
  <c r="CT36" i="4"/>
  <c r="CQ36" i="4"/>
  <c r="CM36" i="4"/>
  <c r="CI36" i="4"/>
  <c r="CE36" i="4"/>
  <c r="CB36" i="4"/>
  <c r="BY36" i="4"/>
  <c r="BU36" i="4"/>
  <c r="BQ36" i="4"/>
  <c r="BM36" i="4"/>
  <c r="BI36" i="4"/>
  <c r="BE36" i="4"/>
  <c r="BA36" i="4"/>
  <c r="AW36" i="4"/>
  <c r="AS36" i="4"/>
  <c r="AO36" i="4"/>
  <c r="AK36" i="4"/>
  <c r="AG36" i="4"/>
  <c r="AC36" i="4"/>
  <c r="Y36" i="4"/>
  <c r="U36" i="4"/>
  <c r="R36" i="4"/>
  <c r="P36" i="4"/>
  <c r="L36" i="4"/>
  <c r="H36" i="4"/>
  <c r="A36" i="4"/>
  <c r="FQ35" i="4"/>
  <c r="FM35" i="4"/>
  <c r="FI35" i="4"/>
  <c r="FE35" i="4"/>
  <c r="FA35" i="4"/>
  <c r="EW35" i="4"/>
  <c r="ES35" i="4"/>
  <c r="EO35" i="4"/>
  <c r="EK35" i="4"/>
  <c r="EG35" i="4"/>
  <c r="EC35" i="4"/>
  <c r="DY35" i="4"/>
  <c r="DU35" i="4"/>
  <c r="DQ35" i="4"/>
  <c r="DM35" i="4"/>
  <c r="DI35" i="4"/>
  <c r="DE35" i="4"/>
  <c r="DB35" i="4"/>
  <c r="CX35" i="4"/>
  <c r="CT35" i="4"/>
  <c r="CQ35" i="4"/>
  <c r="CM35" i="4"/>
  <c r="CI35" i="4"/>
  <c r="CE35" i="4"/>
  <c r="CB35" i="4"/>
  <c r="BY35" i="4"/>
  <c r="BU35" i="4"/>
  <c r="BQ35" i="4"/>
  <c r="BM35" i="4"/>
  <c r="BI35" i="4"/>
  <c r="BE35" i="4"/>
  <c r="BA35" i="4"/>
  <c r="AW35" i="4"/>
  <c r="AS35" i="4"/>
  <c r="AO35" i="4"/>
  <c r="AK35" i="4"/>
  <c r="AG35" i="4"/>
  <c r="AC35" i="4"/>
  <c r="Y35" i="4"/>
  <c r="U35" i="4"/>
  <c r="R35" i="4"/>
  <c r="P35" i="4"/>
  <c r="L35" i="4"/>
  <c r="H35" i="4"/>
  <c r="A35" i="4"/>
  <c r="FQ34" i="4"/>
  <c r="FM34" i="4"/>
  <c r="FI34" i="4"/>
  <c r="FE34" i="4"/>
  <c r="FA34" i="4"/>
  <c r="EW34" i="4"/>
  <c r="ES34" i="4"/>
  <c r="EO34" i="4"/>
  <c r="EK34" i="4"/>
  <c r="EG34" i="4"/>
  <c r="EC34" i="4"/>
  <c r="DY34" i="4"/>
  <c r="DU34" i="4"/>
  <c r="DQ34" i="4"/>
  <c r="DM34" i="4"/>
  <c r="DI34" i="4"/>
  <c r="DE34" i="4"/>
  <c r="DB34" i="4"/>
  <c r="CX34" i="4"/>
  <c r="CT34" i="4"/>
  <c r="CQ34" i="4"/>
  <c r="CM34" i="4"/>
  <c r="CI34" i="4"/>
  <c r="CE34" i="4"/>
  <c r="CB34" i="4"/>
  <c r="BY34" i="4"/>
  <c r="BU34" i="4"/>
  <c r="BQ34" i="4"/>
  <c r="BM34" i="4"/>
  <c r="BI34" i="4"/>
  <c r="BE34" i="4"/>
  <c r="BA34" i="4"/>
  <c r="AW34" i="4"/>
  <c r="AS34" i="4"/>
  <c r="AO34" i="4"/>
  <c r="AK34" i="4"/>
  <c r="AG34" i="4"/>
  <c r="AC34" i="4"/>
  <c r="Y34" i="4"/>
  <c r="U34" i="4"/>
  <c r="R34" i="4"/>
  <c r="P34" i="4"/>
  <c r="L34" i="4"/>
  <c r="H34" i="4"/>
  <c r="A34" i="4"/>
  <c r="FQ33" i="4"/>
  <c r="FM33" i="4"/>
  <c r="FI33" i="4"/>
  <c r="FE33" i="4"/>
  <c r="FA33" i="4"/>
  <c r="EW33" i="4"/>
  <c r="ES33" i="4"/>
  <c r="EO33" i="4"/>
  <c r="EK33" i="4"/>
  <c r="EG33" i="4"/>
  <c r="EC33" i="4"/>
  <c r="DY33" i="4"/>
  <c r="DU33" i="4"/>
  <c r="DQ33" i="4"/>
  <c r="DM33" i="4"/>
  <c r="DI33" i="4"/>
  <c r="DE33" i="4"/>
  <c r="DB33" i="4"/>
  <c r="CX33" i="4"/>
  <c r="CT33" i="4"/>
  <c r="CQ33" i="4"/>
  <c r="CM33" i="4"/>
  <c r="CI33" i="4"/>
  <c r="CE33" i="4"/>
  <c r="CB33" i="4"/>
  <c r="BY33" i="4"/>
  <c r="BU33" i="4"/>
  <c r="BQ33" i="4"/>
  <c r="BM33" i="4"/>
  <c r="BI33" i="4"/>
  <c r="BE33" i="4"/>
  <c r="BA33" i="4"/>
  <c r="AW33" i="4"/>
  <c r="AS33" i="4"/>
  <c r="AO33" i="4"/>
  <c r="AK33" i="4"/>
  <c r="AG33" i="4"/>
  <c r="AC33" i="4"/>
  <c r="Y33" i="4"/>
  <c r="U33" i="4"/>
  <c r="R33" i="4"/>
  <c r="P33" i="4"/>
  <c r="L33" i="4"/>
  <c r="H33" i="4"/>
  <c r="A33" i="4"/>
  <c r="FQ32" i="4"/>
  <c r="FM32" i="4"/>
  <c r="FI32" i="4"/>
  <c r="FE32" i="4"/>
  <c r="FA32" i="4"/>
  <c r="EW32" i="4"/>
  <c r="ES32" i="4"/>
  <c r="EO32" i="4"/>
  <c r="EK32" i="4"/>
  <c r="EG32" i="4"/>
  <c r="EC32" i="4"/>
  <c r="DY32" i="4"/>
  <c r="DU32" i="4"/>
  <c r="DQ32" i="4"/>
  <c r="DM32" i="4"/>
  <c r="DI32" i="4"/>
  <c r="DE32" i="4"/>
  <c r="DB32" i="4"/>
  <c r="CX32" i="4"/>
  <c r="CT32" i="4"/>
  <c r="CQ32" i="4"/>
  <c r="CM32" i="4"/>
  <c r="CI32" i="4"/>
  <c r="CE32" i="4"/>
  <c r="CB32" i="4"/>
  <c r="BY32" i="4"/>
  <c r="BU32" i="4"/>
  <c r="BQ32" i="4"/>
  <c r="BM32" i="4"/>
  <c r="BI32" i="4"/>
  <c r="BE32" i="4"/>
  <c r="BA32" i="4"/>
  <c r="AW32" i="4"/>
  <c r="AS32" i="4"/>
  <c r="AO32" i="4"/>
  <c r="AK32" i="4"/>
  <c r="AG32" i="4"/>
  <c r="AC32" i="4"/>
  <c r="Y32" i="4"/>
  <c r="U32" i="4"/>
  <c r="R32" i="4"/>
  <c r="P32" i="4"/>
  <c r="L32" i="4"/>
  <c r="H32" i="4"/>
  <c r="A32" i="4"/>
  <c r="FQ31" i="4"/>
  <c r="FM31" i="4"/>
  <c r="FI31" i="4"/>
  <c r="FE31" i="4"/>
  <c r="FA31" i="4"/>
  <c r="EW31" i="4"/>
  <c r="ES31" i="4"/>
  <c r="EO31" i="4"/>
  <c r="EK31" i="4"/>
  <c r="EG31" i="4"/>
  <c r="EC31" i="4"/>
  <c r="DY31" i="4"/>
  <c r="DU31" i="4"/>
  <c r="DQ31" i="4"/>
  <c r="DM31" i="4"/>
  <c r="DI31" i="4"/>
  <c r="DE31" i="4"/>
  <c r="DB31" i="4"/>
  <c r="CX31" i="4"/>
  <c r="CT31" i="4"/>
  <c r="CQ31" i="4"/>
  <c r="CM31" i="4"/>
  <c r="CI31" i="4"/>
  <c r="CE31" i="4"/>
  <c r="CB31" i="4"/>
  <c r="BY31" i="4"/>
  <c r="BU31" i="4"/>
  <c r="BQ31" i="4"/>
  <c r="BM31" i="4"/>
  <c r="BI31" i="4"/>
  <c r="BE31" i="4"/>
  <c r="BA31" i="4"/>
  <c r="AW31" i="4"/>
  <c r="AS31" i="4"/>
  <c r="AO31" i="4"/>
  <c r="AK31" i="4"/>
  <c r="AG31" i="4"/>
  <c r="AC31" i="4"/>
  <c r="Y31" i="4"/>
  <c r="U31" i="4"/>
  <c r="R31" i="4"/>
  <c r="P31" i="4"/>
  <c r="L31" i="4"/>
  <c r="H31" i="4"/>
  <c r="A31" i="4"/>
  <c r="FQ30" i="4"/>
  <c r="FM30" i="4"/>
  <c r="FI30" i="4"/>
  <c r="FE30" i="4"/>
  <c r="FA30" i="4"/>
  <c r="EW30" i="4"/>
  <c r="ES30" i="4"/>
  <c r="EO30" i="4"/>
  <c r="EK30" i="4"/>
  <c r="EG30" i="4"/>
  <c r="EC30" i="4"/>
  <c r="DY30" i="4"/>
  <c r="DU30" i="4"/>
  <c r="DQ30" i="4"/>
  <c r="DM30" i="4"/>
  <c r="DI30" i="4"/>
  <c r="DE30" i="4"/>
  <c r="DB30" i="4"/>
  <c r="CX30" i="4"/>
  <c r="CT30" i="4"/>
  <c r="CQ30" i="4"/>
  <c r="CM30" i="4"/>
  <c r="CI30" i="4"/>
  <c r="CE30" i="4"/>
  <c r="CB30" i="4"/>
  <c r="BY30" i="4"/>
  <c r="BU30" i="4"/>
  <c r="BQ30" i="4"/>
  <c r="BM30" i="4"/>
  <c r="BI30" i="4"/>
  <c r="BE30" i="4"/>
  <c r="BA30" i="4"/>
  <c r="AW30" i="4"/>
  <c r="AS30" i="4"/>
  <c r="AO30" i="4"/>
  <c r="AK30" i="4"/>
  <c r="AG30" i="4"/>
  <c r="AC30" i="4"/>
  <c r="Y30" i="4"/>
  <c r="U30" i="4"/>
  <c r="R30" i="4"/>
  <c r="P30" i="4"/>
  <c r="L30" i="4"/>
  <c r="H30" i="4"/>
  <c r="A30" i="4"/>
  <c r="FQ29" i="4"/>
  <c r="FM29" i="4"/>
  <c r="FI29" i="4"/>
  <c r="FE29" i="4"/>
  <c r="FA29" i="4"/>
  <c r="EW29" i="4"/>
  <c r="ES29" i="4"/>
  <c r="EO29" i="4"/>
  <c r="EK29" i="4"/>
  <c r="EG29" i="4"/>
  <c r="EC29" i="4"/>
  <c r="DY29" i="4"/>
  <c r="DU29" i="4"/>
  <c r="DQ29" i="4"/>
  <c r="DM29" i="4"/>
  <c r="DI29" i="4"/>
  <c r="DE29" i="4"/>
  <c r="DB29" i="4"/>
  <c r="CX29" i="4"/>
  <c r="CT29" i="4"/>
  <c r="CQ29" i="4"/>
  <c r="CM29" i="4"/>
  <c r="CI29" i="4"/>
  <c r="CE29" i="4"/>
  <c r="CB29" i="4"/>
  <c r="BY29" i="4"/>
  <c r="BU29" i="4"/>
  <c r="BQ29" i="4"/>
  <c r="BM29" i="4"/>
  <c r="BI29" i="4"/>
  <c r="BE29" i="4"/>
  <c r="BA29" i="4"/>
  <c r="AW29" i="4"/>
  <c r="AS29" i="4"/>
  <c r="AO29" i="4"/>
  <c r="AK29" i="4"/>
  <c r="AG29" i="4"/>
  <c r="AC29" i="4"/>
  <c r="Y29" i="4"/>
  <c r="U29" i="4"/>
  <c r="R29" i="4"/>
  <c r="P29" i="4"/>
  <c r="L29" i="4"/>
  <c r="H29" i="4"/>
  <c r="A29" i="4"/>
  <c r="FQ28" i="4"/>
  <c r="FM28" i="4"/>
  <c r="FI28" i="4"/>
  <c r="FE28" i="4"/>
  <c r="FA28" i="4"/>
  <c r="EW28" i="4"/>
  <c r="ES28" i="4"/>
  <c r="EO28" i="4"/>
  <c r="EK28" i="4"/>
  <c r="EG28" i="4"/>
  <c r="EC28" i="4"/>
  <c r="DY28" i="4"/>
  <c r="DU28" i="4"/>
  <c r="DQ28" i="4"/>
  <c r="DM28" i="4"/>
  <c r="DI28" i="4"/>
  <c r="DE28" i="4"/>
  <c r="DB28" i="4"/>
  <c r="CX28" i="4"/>
  <c r="CT28" i="4"/>
  <c r="CQ28" i="4"/>
  <c r="CM28" i="4"/>
  <c r="CI28" i="4"/>
  <c r="CE28" i="4"/>
  <c r="CB28" i="4"/>
  <c r="BY28" i="4"/>
  <c r="BU28" i="4"/>
  <c r="BQ28" i="4"/>
  <c r="BM28" i="4"/>
  <c r="BI28" i="4"/>
  <c r="BE28" i="4"/>
  <c r="BA28" i="4"/>
  <c r="AW28" i="4"/>
  <c r="AS28" i="4"/>
  <c r="AO28" i="4"/>
  <c r="AK28" i="4"/>
  <c r="AG28" i="4"/>
  <c r="AC28" i="4"/>
  <c r="Y28" i="4"/>
  <c r="U28" i="4"/>
  <c r="R28" i="4"/>
  <c r="P28" i="4"/>
  <c r="L28" i="4"/>
  <c r="H28" i="4"/>
  <c r="A28" i="4"/>
  <c r="FQ27" i="4"/>
  <c r="FM27" i="4"/>
  <c r="FI27" i="4"/>
  <c r="FE27" i="4"/>
  <c r="FA27" i="4"/>
  <c r="EW27" i="4"/>
  <c r="ES27" i="4"/>
  <c r="EO27" i="4"/>
  <c r="EK27" i="4"/>
  <c r="EG27" i="4"/>
  <c r="EC27" i="4"/>
  <c r="DY27" i="4"/>
  <c r="DU27" i="4"/>
  <c r="DQ27" i="4"/>
  <c r="DM27" i="4"/>
  <c r="DI27" i="4"/>
  <c r="DE27" i="4"/>
  <c r="DB27" i="4"/>
  <c r="CX27" i="4"/>
  <c r="CT27" i="4"/>
  <c r="CQ27" i="4"/>
  <c r="CM27" i="4"/>
  <c r="CI27" i="4"/>
  <c r="CE27" i="4"/>
  <c r="CB27" i="4"/>
  <c r="BY27" i="4"/>
  <c r="BU27" i="4"/>
  <c r="BQ27" i="4"/>
  <c r="BM27" i="4"/>
  <c r="BI27" i="4"/>
  <c r="BE27" i="4"/>
  <c r="BA27" i="4"/>
  <c r="AW27" i="4"/>
  <c r="AS27" i="4"/>
  <c r="AO27" i="4"/>
  <c r="AK27" i="4"/>
  <c r="AG27" i="4"/>
  <c r="AC27" i="4"/>
  <c r="Y27" i="4"/>
  <c r="U27" i="4"/>
  <c r="R27" i="4"/>
  <c r="P27" i="4"/>
  <c r="L27" i="4"/>
  <c r="H27" i="4"/>
  <c r="A27" i="4"/>
  <c r="FQ26" i="4"/>
  <c r="FM26" i="4"/>
  <c r="FI26" i="4"/>
  <c r="FE26" i="4"/>
  <c r="FA26" i="4"/>
  <c r="EW26" i="4"/>
  <c r="ES26" i="4"/>
  <c r="EO26" i="4"/>
  <c r="EK26" i="4"/>
  <c r="EG26" i="4"/>
  <c r="EC26" i="4"/>
  <c r="DY26" i="4"/>
  <c r="DU26" i="4"/>
  <c r="DQ26" i="4"/>
  <c r="DM26" i="4"/>
  <c r="DI26" i="4"/>
  <c r="DE26" i="4"/>
  <c r="DB26" i="4"/>
  <c r="CX26" i="4"/>
  <c r="CT26" i="4"/>
  <c r="CQ26" i="4"/>
  <c r="CM26" i="4"/>
  <c r="CI26" i="4"/>
  <c r="CE26" i="4"/>
  <c r="CB26" i="4"/>
  <c r="BY26" i="4"/>
  <c r="BU26" i="4"/>
  <c r="BQ26" i="4"/>
  <c r="BM26" i="4"/>
  <c r="BI26" i="4"/>
  <c r="BE26" i="4"/>
  <c r="BA26" i="4"/>
  <c r="AW26" i="4"/>
  <c r="AS26" i="4"/>
  <c r="AO26" i="4"/>
  <c r="AK26" i="4"/>
  <c r="AG26" i="4"/>
  <c r="AC26" i="4"/>
  <c r="Y26" i="4"/>
  <c r="U26" i="4"/>
  <c r="R26" i="4"/>
  <c r="P26" i="4"/>
  <c r="L26" i="4"/>
  <c r="H26" i="4"/>
  <c r="A26" i="4"/>
  <c r="FQ25" i="4"/>
  <c r="FM25" i="4"/>
  <c r="FI25" i="4"/>
  <c r="FE25" i="4"/>
  <c r="FA25" i="4"/>
  <c r="EW25" i="4"/>
  <c r="ES25" i="4"/>
  <c r="EO25" i="4"/>
  <c r="EK25" i="4"/>
  <c r="EG25" i="4"/>
  <c r="EC25" i="4"/>
  <c r="DY25" i="4"/>
  <c r="DU25" i="4"/>
  <c r="DQ25" i="4"/>
  <c r="DM25" i="4"/>
  <c r="DI25" i="4"/>
  <c r="DE25" i="4"/>
  <c r="DB25" i="4"/>
  <c r="CX25" i="4"/>
  <c r="CT25" i="4"/>
  <c r="CQ25" i="4"/>
  <c r="CM25" i="4"/>
  <c r="CI25" i="4"/>
  <c r="CE25" i="4"/>
  <c r="CB25" i="4"/>
  <c r="BY25" i="4"/>
  <c r="BU25" i="4"/>
  <c r="BQ25" i="4"/>
  <c r="BM25" i="4"/>
  <c r="BI25" i="4"/>
  <c r="BE25" i="4"/>
  <c r="BA25" i="4"/>
  <c r="AW25" i="4"/>
  <c r="AS25" i="4"/>
  <c r="AO25" i="4"/>
  <c r="AK25" i="4"/>
  <c r="AG25" i="4"/>
  <c r="AC25" i="4"/>
  <c r="Y25" i="4"/>
  <c r="U25" i="4"/>
  <c r="R25" i="4"/>
  <c r="P25" i="4"/>
  <c r="L25" i="4"/>
  <c r="H25" i="4"/>
  <c r="A25" i="4"/>
  <c r="FQ24" i="4"/>
  <c r="FM24" i="4"/>
  <c r="FI24" i="4"/>
  <c r="FE24" i="4"/>
  <c r="FA24" i="4"/>
  <c r="EW24" i="4"/>
  <c r="ES24" i="4"/>
  <c r="EO24" i="4"/>
  <c r="EK24" i="4"/>
  <c r="EG24" i="4"/>
  <c r="EC24" i="4"/>
  <c r="DY24" i="4"/>
  <c r="DU24" i="4"/>
  <c r="DQ24" i="4"/>
  <c r="DM24" i="4"/>
  <c r="DI24" i="4"/>
  <c r="DE24" i="4"/>
  <c r="DB24" i="4"/>
  <c r="CX24" i="4"/>
  <c r="CT24" i="4"/>
  <c r="CQ24" i="4"/>
  <c r="CM24" i="4"/>
  <c r="CI24" i="4"/>
  <c r="CE24" i="4"/>
  <c r="CB24" i="4"/>
  <c r="BY24" i="4"/>
  <c r="BU24" i="4"/>
  <c r="BQ24" i="4"/>
  <c r="BM24" i="4"/>
  <c r="BI24" i="4"/>
  <c r="BE24" i="4"/>
  <c r="BA24" i="4"/>
  <c r="AW24" i="4"/>
  <c r="AS24" i="4"/>
  <c r="AO24" i="4"/>
  <c r="AK24" i="4"/>
  <c r="AG24" i="4"/>
  <c r="AC24" i="4"/>
  <c r="Y24" i="4"/>
  <c r="U24" i="4"/>
  <c r="R24" i="4"/>
  <c r="P24" i="4"/>
  <c r="L24" i="4"/>
  <c r="H24" i="4"/>
  <c r="A24" i="4"/>
  <c r="FQ23" i="4"/>
  <c r="FM23" i="4"/>
  <c r="FI23" i="4"/>
  <c r="FE23" i="4"/>
  <c r="FA23" i="4"/>
  <c r="EW23" i="4"/>
  <c r="ES23" i="4"/>
  <c r="EO23" i="4"/>
  <c r="EK23" i="4"/>
  <c r="EG23" i="4"/>
  <c r="EC23" i="4"/>
  <c r="DY23" i="4"/>
  <c r="DU23" i="4"/>
  <c r="DQ23" i="4"/>
  <c r="DM23" i="4"/>
  <c r="DI23" i="4"/>
  <c r="DE23" i="4"/>
  <c r="DB23" i="4"/>
  <c r="CX23" i="4"/>
  <c r="CT23" i="4"/>
  <c r="CQ23" i="4"/>
  <c r="CM23" i="4"/>
  <c r="CI23" i="4"/>
  <c r="CE23" i="4"/>
  <c r="CB23" i="4"/>
  <c r="BY23" i="4"/>
  <c r="BU23" i="4"/>
  <c r="BQ23" i="4"/>
  <c r="BM23" i="4"/>
  <c r="BI23" i="4"/>
  <c r="BE23" i="4"/>
  <c r="BA23" i="4"/>
  <c r="AW23" i="4"/>
  <c r="AS23" i="4"/>
  <c r="AO23" i="4"/>
  <c r="AK23" i="4"/>
  <c r="AG23" i="4"/>
  <c r="AC23" i="4"/>
  <c r="Y23" i="4"/>
  <c r="U23" i="4"/>
  <c r="R23" i="4"/>
  <c r="P23" i="4"/>
  <c r="L23" i="4"/>
  <c r="H23" i="4"/>
  <c r="A23" i="4"/>
  <c r="FQ22" i="4"/>
  <c r="FM22" i="4"/>
  <c r="FI22" i="4"/>
  <c r="FE22" i="4"/>
  <c r="FA22" i="4"/>
  <c r="EW22" i="4"/>
  <c r="ES22" i="4"/>
  <c r="EO22" i="4"/>
  <c r="EK22" i="4"/>
  <c r="EG22" i="4"/>
  <c r="EC22" i="4"/>
  <c r="DY22" i="4"/>
  <c r="DU22" i="4"/>
  <c r="DQ22" i="4"/>
  <c r="DM22" i="4"/>
  <c r="DI22" i="4"/>
  <c r="DE22" i="4"/>
  <c r="DB22" i="4"/>
  <c r="CX22" i="4"/>
  <c r="CT22" i="4"/>
  <c r="CQ22" i="4"/>
  <c r="CM22" i="4"/>
  <c r="CI22" i="4"/>
  <c r="CE22" i="4"/>
  <c r="CB22" i="4"/>
  <c r="BY22" i="4"/>
  <c r="BU22" i="4"/>
  <c r="BQ22" i="4"/>
  <c r="BM22" i="4"/>
  <c r="BI22" i="4"/>
  <c r="BE22" i="4"/>
  <c r="BA22" i="4"/>
  <c r="AW22" i="4"/>
  <c r="AS22" i="4"/>
  <c r="AO22" i="4"/>
  <c r="AK22" i="4"/>
  <c r="AG22" i="4"/>
  <c r="AC22" i="4"/>
  <c r="Y22" i="4"/>
  <c r="U22" i="4"/>
  <c r="R22" i="4"/>
  <c r="P22" i="4"/>
  <c r="L22" i="4"/>
  <c r="H22" i="4"/>
  <c r="A22" i="4"/>
  <c r="FQ21" i="4"/>
  <c r="FM21" i="4"/>
  <c r="FI21" i="4"/>
  <c r="FE21" i="4"/>
  <c r="FA21" i="4"/>
  <c r="EW21" i="4"/>
  <c r="ES21" i="4"/>
  <c r="EO21" i="4"/>
  <c r="EK21" i="4"/>
  <c r="EG21" i="4"/>
  <c r="EC21" i="4"/>
  <c r="DY21" i="4"/>
  <c r="DU21" i="4"/>
  <c r="DQ21" i="4"/>
  <c r="DM21" i="4"/>
  <c r="DI21" i="4"/>
  <c r="DE21" i="4"/>
  <c r="DB21" i="4"/>
  <c r="CX21" i="4"/>
  <c r="CT21" i="4"/>
  <c r="CQ21" i="4"/>
  <c r="CM21" i="4"/>
  <c r="CI21" i="4"/>
  <c r="CE21" i="4"/>
  <c r="CB21" i="4"/>
  <c r="BY21" i="4"/>
  <c r="BU21" i="4"/>
  <c r="BQ21" i="4"/>
  <c r="BM21" i="4"/>
  <c r="BI21" i="4"/>
  <c r="BE21" i="4"/>
  <c r="BA21" i="4"/>
  <c r="AW21" i="4"/>
  <c r="AS21" i="4"/>
  <c r="AO21" i="4"/>
  <c r="AK21" i="4"/>
  <c r="AG21" i="4"/>
  <c r="AC21" i="4"/>
  <c r="Y21" i="4"/>
  <c r="U21" i="4"/>
  <c r="R21" i="4"/>
  <c r="P21" i="4"/>
  <c r="L21" i="4"/>
  <c r="H21" i="4"/>
  <c r="A21" i="4"/>
  <c r="FQ20" i="4"/>
  <c r="FM20" i="4"/>
  <c r="FI20" i="4"/>
  <c r="FE20" i="4"/>
  <c r="FA20" i="4"/>
  <c r="EW20" i="4"/>
  <c r="ES20" i="4"/>
  <c r="EO20" i="4"/>
  <c r="EK20" i="4"/>
  <c r="EG20" i="4"/>
  <c r="EC20" i="4"/>
  <c r="DY20" i="4"/>
  <c r="DU20" i="4"/>
  <c r="DQ20" i="4"/>
  <c r="DM20" i="4"/>
  <c r="DI20" i="4"/>
  <c r="DE20" i="4"/>
  <c r="DB20" i="4"/>
  <c r="CX20" i="4"/>
  <c r="CT20" i="4"/>
  <c r="CQ20" i="4"/>
  <c r="CM20" i="4"/>
  <c r="CI20" i="4"/>
  <c r="CE20" i="4"/>
  <c r="CB20" i="4"/>
  <c r="BY20" i="4"/>
  <c r="BU20" i="4"/>
  <c r="BQ20" i="4"/>
  <c r="BM20" i="4"/>
  <c r="BI20" i="4"/>
  <c r="BE20" i="4"/>
  <c r="BA20" i="4"/>
  <c r="AW20" i="4"/>
  <c r="AS20" i="4"/>
  <c r="AO20" i="4"/>
  <c r="AK20" i="4"/>
  <c r="AG20" i="4"/>
  <c r="AC20" i="4"/>
  <c r="Y20" i="4"/>
  <c r="U20" i="4"/>
  <c r="R20" i="4"/>
  <c r="P20" i="4"/>
  <c r="L20" i="4"/>
  <c r="H20" i="4"/>
  <c r="A20" i="4"/>
  <c r="FQ19" i="4"/>
  <c r="FM19" i="4"/>
  <c r="FI19" i="4"/>
  <c r="FE19" i="4"/>
  <c r="FA19" i="4"/>
  <c r="EW19" i="4"/>
  <c r="ES19" i="4"/>
  <c r="EO19" i="4"/>
  <c r="EK19" i="4"/>
  <c r="EG19" i="4"/>
  <c r="EC19" i="4"/>
  <c r="DY19" i="4"/>
  <c r="DU19" i="4"/>
  <c r="DQ19" i="4"/>
  <c r="DM19" i="4"/>
  <c r="DI19" i="4"/>
  <c r="DE19" i="4"/>
  <c r="DB19" i="4"/>
  <c r="CX19" i="4"/>
  <c r="CT19" i="4"/>
  <c r="CQ19" i="4"/>
  <c r="CM19" i="4"/>
  <c r="CI19" i="4"/>
  <c r="CE19" i="4"/>
  <c r="CB19" i="4"/>
  <c r="BY19" i="4"/>
  <c r="BU19" i="4"/>
  <c r="BQ19" i="4"/>
  <c r="BM19" i="4"/>
  <c r="BI19" i="4"/>
  <c r="BE19" i="4"/>
  <c r="BA19" i="4"/>
  <c r="AW19" i="4"/>
  <c r="AS19" i="4"/>
  <c r="AO19" i="4"/>
  <c r="AK19" i="4"/>
  <c r="AG19" i="4"/>
  <c r="AC19" i="4"/>
  <c r="Y19" i="4"/>
  <c r="U19" i="4"/>
  <c r="R19" i="4"/>
  <c r="P19" i="4"/>
  <c r="L19" i="4"/>
  <c r="H19" i="4"/>
  <c r="A19" i="4"/>
  <c r="FQ18" i="4"/>
  <c r="FM18" i="4"/>
  <c r="FI18" i="4"/>
  <c r="FE18" i="4"/>
  <c r="FA18" i="4"/>
  <c r="EW18" i="4"/>
  <c r="ES18" i="4"/>
  <c r="EO18" i="4"/>
  <c r="EK18" i="4"/>
  <c r="EG18" i="4"/>
  <c r="EC18" i="4"/>
  <c r="DY18" i="4"/>
  <c r="DU18" i="4"/>
  <c r="DQ18" i="4"/>
  <c r="DM18" i="4"/>
  <c r="DI18" i="4"/>
  <c r="DE18" i="4"/>
  <c r="DB18" i="4"/>
  <c r="CX18" i="4"/>
  <c r="CT18" i="4"/>
  <c r="CQ18" i="4"/>
  <c r="CM18" i="4"/>
  <c r="CI18" i="4"/>
  <c r="CE18" i="4"/>
  <c r="CB18" i="4"/>
  <c r="BY18" i="4"/>
  <c r="BU18" i="4"/>
  <c r="BQ18" i="4"/>
  <c r="BM18" i="4"/>
  <c r="BI18" i="4"/>
  <c r="BE18" i="4"/>
  <c r="BA18" i="4"/>
  <c r="AW18" i="4"/>
  <c r="AS18" i="4"/>
  <c r="AO18" i="4"/>
  <c r="AK18" i="4"/>
  <c r="AG18" i="4"/>
  <c r="AC18" i="4"/>
  <c r="Y18" i="4"/>
  <c r="U18" i="4"/>
  <c r="R18" i="4"/>
  <c r="P18" i="4"/>
  <c r="L18" i="4"/>
  <c r="H18" i="4"/>
  <c r="A18" i="4"/>
  <c r="FQ17" i="4"/>
  <c r="FM17" i="4"/>
  <c r="FI17" i="4"/>
  <c r="FE17" i="4"/>
  <c r="FA17" i="4"/>
  <c r="EW17" i="4"/>
  <c r="ES17" i="4"/>
  <c r="EO17" i="4"/>
  <c r="EK17" i="4"/>
  <c r="EG17" i="4"/>
  <c r="EC17" i="4"/>
  <c r="DY17" i="4"/>
  <c r="DU17" i="4"/>
  <c r="DQ17" i="4"/>
  <c r="DM17" i="4"/>
  <c r="DI17" i="4"/>
  <c r="DE17" i="4"/>
  <c r="DB17" i="4"/>
  <c r="CX17" i="4"/>
  <c r="CT17" i="4"/>
  <c r="CQ17" i="4"/>
  <c r="CM17" i="4"/>
  <c r="CI17" i="4"/>
  <c r="CE17" i="4"/>
  <c r="CB17" i="4"/>
  <c r="BY17" i="4"/>
  <c r="BU17" i="4"/>
  <c r="BQ17" i="4"/>
  <c r="BM17" i="4"/>
  <c r="BI17" i="4"/>
  <c r="BE17" i="4"/>
  <c r="BA17" i="4"/>
  <c r="AW17" i="4"/>
  <c r="AS17" i="4"/>
  <c r="AO17" i="4"/>
  <c r="AK17" i="4"/>
  <c r="AG17" i="4"/>
  <c r="AC17" i="4"/>
  <c r="Y17" i="4"/>
  <c r="U17" i="4"/>
  <c r="R17" i="4"/>
  <c r="P17" i="4"/>
  <c r="L17" i="4"/>
  <c r="H17" i="4"/>
  <c r="A17" i="4"/>
  <c r="FQ16" i="4"/>
  <c r="FM16" i="4"/>
  <c r="FI16" i="4"/>
  <c r="FE16" i="4"/>
  <c r="FA16" i="4"/>
  <c r="EW16" i="4"/>
  <c r="ES16" i="4"/>
  <c r="EO16" i="4"/>
  <c r="EK16" i="4"/>
  <c r="EG16" i="4"/>
  <c r="EC16" i="4"/>
  <c r="DY16" i="4"/>
  <c r="DU16" i="4"/>
  <c r="DQ16" i="4"/>
  <c r="DM16" i="4"/>
  <c r="DI16" i="4"/>
  <c r="DE16" i="4"/>
  <c r="DB16" i="4"/>
  <c r="CX16" i="4"/>
  <c r="CT16" i="4"/>
  <c r="CQ16" i="4"/>
  <c r="CM16" i="4"/>
  <c r="CI16" i="4"/>
  <c r="CE16" i="4"/>
  <c r="CB16" i="4"/>
  <c r="BY16" i="4"/>
  <c r="BU16" i="4"/>
  <c r="BQ16" i="4"/>
  <c r="BM16" i="4"/>
  <c r="BI16" i="4"/>
  <c r="BE16" i="4"/>
  <c r="BA16" i="4"/>
  <c r="AW16" i="4"/>
  <c r="AS16" i="4"/>
  <c r="AO16" i="4"/>
  <c r="AK16" i="4"/>
  <c r="AG16" i="4"/>
  <c r="AC16" i="4"/>
  <c r="Y16" i="4"/>
  <c r="U16" i="4"/>
  <c r="R16" i="4"/>
  <c r="P16" i="4"/>
  <c r="L16" i="4"/>
  <c r="H16" i="4"/>
  <c r="A16" i="4"/>
  <c r="FQ15" i="4"/>
  <c r="FM15" i="4"/>
  <c r="FI15" i="4"/>
  <c r="FE15" i="4"/>
  <c r="FA15" i="4"/>
  <c r="EW15" i="4"/>
  <c r="ES15" i="4"/>
  <c r="EO15" i="4"/>
  <c r="EK15" i="4"/>
  <c r="EG15" i="4"/>
  <c r="EC15" i="4"/>
  <c r="DY15" i="4"/>
  <c r="DU15" i="4"/>
  <c r="DQ15" i="4"/>
  <c r="DM15" i="4"/>
  <c r="DI15" i="4"/>
  <c r="DE15" i="4"/>
  <c r="DB15" i="4"/>
  <c r="CX15" i="4"/>
  <c r="CT15" i="4"/>
  <c r="CQ15" i="4"/>
  <c r="CM15" i="4"/>
  <c r="CI15" i="4"/>
  <c r="CE15" i="4"/>
  <c r="CB15" i="4"/>
  <c r="BY15" i="4"/>
  <c r="BU15" i="4"/>
  <c r="BQ15" i="4"/>
  <c r="BM15" i="4"/>
  <c r="BI15" i="4"/>
  <c r="BE15" i="4"/>
  <c r="BA15" i="4"/>
  <c r="AW15" i="4"/>
  <c r="AS15" i="4"/>
  <c r="AO15" i="4"/>
  <c r="AK15" i="4"/>
  <c r="AG15" i="4"/>
  <c r="AC15" i="4"/>
  <c r="Y15" i="4"/>
  <c r="U15" i="4"/>
  <c r="R15" i="4"/>
  <c r="P15" i="4"/>
  <c r="L15" i="4"/>
  <c r="H15" i="4"/>
  <c r="A15" i="4"/>
  <c r="FQ14" i="4"/>
  <c r="FM14" i="4"/>
  <c r="FI14" i="4"/>
  <c r="FE14" i="4"/>
  <c r="FA14" i="4"/>
  <c r="EW14" i="4"/>
  <c r="ES14" i="4"/>
  <c r="EO14" i="4"/>
  <c r="EK14" i="4"/>
  <c r="EG14" i="4"/>
  <c r="EC14" i="4"/>
  <c r="DY14" i="4"/>
  <c r="DU14" i="4"/>
  <c r="DQ14" i="4"/>
  <c r="DM14" i="4"/>
  <c r="DI14" i="4"/>
  <c r="DE14" i="4"/>
  <c r="DB14" i="4"/>
  <c r="CX14" i="4"/>
  <c r="CT14" i="4"/>
  <c r="CQ14" i="4"/>
  <c r="CM14" i="4"/>
  <c r="CI14" i="4"/>
  <c r="CE14" i="4"/>
  <c r="CB14" i="4"/>
  <c r="BY14" i="4"/>
  <c r="BU14" i="4"/>
  <c r="BQ14" i="4"/>
  <c r="BM14" i="4"/>
  <c r="BI14" i="4"/>
  <c r="BE14" i="4"/>
  <c r="BA14" i="4"/>
  <c r="AW14" i="4"/>
  <c r="AS14" i="4"/>
  <c r="AO14" i="4"/>
  <c r="AK14" i="4"/>
  <c r="AG14" i="4"/>
  <c r="AC14" i="4"/>
  <c r="Y14" i="4"/>
  <c r="U14" i="4"/>
  <c r="R14" i="4"/>
  <c r="P14" i="4"/>
  <c r="L14" i="4"/>
  <c r="H14" i="4"/>
  <c r="A14" i="4"/>
  <c r="FQ13" i="4"/>
  <c r="FM13" i="4"/>
  <c r="FI13" i="4"/>
  <c r="FE13" i="4"/>
  <c r="FA13" i="4"/>
  <c r="EW13" i="4"/>
  <c r="ES13" i="4"/>
  <c r="EO13" i="4"/>
  <c r="EK13" i="4"/>
  <c r="EG13" i="4"/>
  <c r="EC13" i="4"/>
  <c r="DY13" i="4"/>
  <c r="DU13" i="4"/>
  <c r="DQ13" i="4"/>
  <c r="DM13" i="4"/>
  <c r="DI13" i="4"/>
  <c r="DE13" i="4"/>
  <c r="DB13" i="4"/>
  <c r="CX13" i="4"/>
  <c r="CT13" i="4"/>
  <c r="CQ13" i="4"/>
  <c r="CM13" i="4"/>
  <c r="CI13" i="4"/>
  <c r="CE13" i="4"/>
  <c r="CB13" i="4"/>
  <c r="BY13" i="4"/>
  <c r="BU13" i="4"/>
  <c r="BQ13" i="4"/>
  <c r="BM13" i="4"/>
  <c r="BI13" i="4"/>
  <c r="BE13" i="4"/>
  <c r="BA13" i="4"/>
  <c r="AW13" i="4"/>
  <c r="AS13" i="4"/>
  <c r="AO13" i="4"/>
  <c r="AK13" i="4"/>
  <c r="AG13" i="4"/>
  <c r="AC13" i="4"/>
  <c r="Y13" i="4"/>
  <c r="U13" i="4"/>
  <c r="R13" i="4"/>
  <c r="P13" i="4"/>
  <c r="L13" i="4"/>
  <c r="H13" i="4"/>
  <c r="A13" i="4"/>
  <c r="FQ12" i="4"/>
  <c r="FM12" i="4"/>
  <c r="FI12" i="4"/>
  <c r="FE12" i="4"/>
  <c r="FA12" i="4"/>
  <c r="EW12" i="4"/>
  <c r="ES12" i="4"/>
  <c r="EO12" i="4"/>
  <c r="EK12" i="4"/>
  <c r="EG12" i="4"/>
  <c r="EC12" i="4"/>
  <c r="DY12" i="4"/>
  <c r="DU12" i="4"/>
  <c r="DQ12" i="4"/>
  <c r="DM12" i="4"/>
  <c r="DI12" i="4"/>
  <c r="DE12" i="4"/>
  <c r="DB12" i="4"/>
  <c r="CX12" i="4"/>
  <c r="CT12" i="4"/>
  <c r="CQ12" i="4"/>
  <c r="CM12" i="4"/>
  <c r="CI12" i="4"/>
  <c r="CE12" i="4"/>
  <c r="CB12" i="4"/>
  <c r="BY12" i="4"/>
  <c r="BU12" i="4"/>
  <c r="BQ12" i="4"/>
  <c r="BM12" i="4"/>
  <c r="BI12" i="4"/>
  <c r="BE12" i="4"/>
  <c r="BA12" i="4"/>
  <c r="AW12" i="4"/>
  <c r="AS12" i="4"/>
  <c r="AO12" i="4"/>
  <c r="AK12" i="4"/>
  <c r="AG12" i="4"/>
  <c r="AC12" i="4"/>
  <c r="Y12" i="4"/>
  <c r="U12" i="4"/>
  <c r="R12" i="4"/>
  <c r="P12" i="4"/>
  <c r="L12" i="4"/>
  <c r="H12" i="4"/>
  <c r="A12" i="4"/>
  <c r="FQ11" i="4"/>
  <c r="FM11" i="4"/>
  <c r="FI11" i="4"/>
  <c r="FE11" i="4"/>
  <c r="FA11" i="4"/>
  <c r="EW11" i="4"/>
  <c r="ES11" i="4"/>
  <c r="EO11" i="4"/>
  <c r="EK11" i="4"/>
  <c r="EG11" i="4"/>
  <c r="EC11" i="4"/>
  <c r="DY11" i="4"/>
  <c r="DU11" i="4"/>
  <c r="DQ11" i="4"/>
  <c r="DM11" i="4"/>
  <c r="DI11" i="4"/>
  <c r="DE11" i="4"/>
  <c r="DB11" i="4"/>
  <c r="CX11" i="4"/>
  <c r="CT11" i="4"/>
  <c r="CQ11" i="4"/>
  <c r="CM11" i="4"/>
  <c r="CI11" i="4"/>
  <c r="CE11" i="4"/>
  <c r="CB11" i="4"/>
  <c r="BY11" i="4"/>
  <c r="BU11" i="4"/>
  <c r="BQ11" i="4"/>
  <c r="BM11" i="4"/>
  <c r="BI11" i="4"/>
  <c r="BE11" i="4"/>
  <c r="BA11" i="4"/>
  <c r="AW11" i="4"/>
  <c r="AS11" i="4"/>
  <c r="AO11" i="4"/>
  <c r="AK11" i="4"/>
  <c r="AG11" i="4"/>
  <c r="AC11" i="4"/>
  <c r="Y11" i="4"/>
  <c r="U11" i="4"/>
  <c r="R11" i="4"/>
  <c r="P11" i="4"/>
  <c r="L11" i="4"/>
  <c r="H11" i="4"/>
  <c r="A11" i="4"/>
  <c r="FQ10" i="4"/>
  <c r="FM10" i="4"/>
  <c r="FI10" i="4"/>
  <c r="FE10" i="4"/>
  <c r="FA10" i="4"/>
  <c r="EW10" i="4"/>
  <c r="ES10" i="4"/>
  <c r="EO10" i="4"/>
  <c r="EK10" i="4"/>
  <c r="EG10" i="4"/>
  <c r="EC10" i="4"/>
  <c r="DY10" i="4"/>
  <c r="DU10" i="4"/>
  <c r="DQ10" i="4"/>
  <c r="DM10" i="4"/>
  <c r="DI10" i="4"/>
  <c r="DE10" i="4"/>
  <c r="DB10" i="4"/>
  <c r="CX10" i="4"/>
  <c r="CT10" i="4"/>
  <c r="CQ10" i="4"/>
  <c r="CM10" i="4"/>
  <c r="CI10" i="4"/>
  <c r="CE10" i="4"/>
  <c r="CB10" i="4"/>
  <c r="BY10" i="4"/>
  <c r="BU10" i="4"/>
  <c r="BQ10" i="4"/>
  <c r="BM10" i="4"/>
  <c r="BI10" i="4"/>
  <c r="BE10" i="4"/>
  <c r="BA10" i="4"/>
  <c r="AW10" i="4"/>
  <c r="AS10" i="4"/>
  <c r="AO10" i="4"/>
  <c r="AK10" i="4"/>
  <c r="AG10" i="4"/>
  <c r="AC10" i="4"/>
  <c r="Y10" i="4"/>
  <c r="U10" i="4"/>
  <c r="R10" i="4"/>
  <c r="P10" i="4"/>
  <c r="L10" i="4"/>
  <c r="H10" i="4"/>
  <c r="A10" i="4"/>
  <c r="FQ9" i="4"/>
  <c r="FM9" i="4"/>
  <c r="FI9" i="4"/>
  <c r="FE9" i="4"/>
  <c r="FA9" i="4"/>
  <c r="EW9" i="4"/>
  <c r="ES9" i="4"/>
  <c r="EO9" i="4"/>
  <c r="EK9" i="4"/>
  <c r="EG9" i="4"/>
  <c r="EC9" i="4"/>
  <c r="DY9" i="4"/>
  <c r="DU9" i="4"/>
  <c r="DQ9" i="4"/>
  <c r="DM9" i="4"/>
  <c r="DI9" i="4"/>
  <c r="DE9" i="4"/>
  <c r="DB9" i="4"/>
  <c r="CX9" i="4"/>
  <c r="CT9" i="4"/>
  <c r="CQ9" i="4"/>
  <c r="CM9" i="4"/>
  <c r="CI9" i="4"/>
  <c r="CE9" i="4"/>
  <c r="CB9" i="4"/>
  <c r="BY9" i="4"/>
  <c r="BU9" i="4"/>
  <c r="BQ9" i="4"/>
  <c r="BM9" i="4"/>
  <c r="BI9" i="4"/>
  <c r="BE9" i="4"/>
  <c r="BA9" i="4"/>
  <c r="AW9" i="4"/>
  <c r="AS9" i="4"/>
  <c r="AO9" i="4"/>
  <c r="AK9" i="4"/>
  <c r="AG9" i="4"/>
  <c r="AC9" i="4"/>
  <c r="Y9" i="4"/>
  <c r="U9" i="4"/>
  <c r="R9" i="4"/>
  <c r="P9" i="4"/>
  <c r="L9" i="4"/>
  <c r="H9" i="4"/>
  <c r="A9" i="4"/>
  <c r="FQ8" i="4"/>
  <c r="FM8" i="4"/>
  <c r="FI8" i="4"/>
  <c r="FE8" i="4"/>
  <c r="FA8" i="4"/>
  <c r="EW8" i="4"/>
  <c r="ES8" i="4"/>
  <c r="EO8" i="4"/>
  <c r="EK8" i="4"/>
  <c r="EG8" i="4"/>
  <c r="EC8" i="4"/>
  <c r="DY8" i="4"/>
  <c r="DI8" i="4"/>
  <c r="DE8" i="4"/>
  <c r="DB8" i="4"/>
  <c r="CX8" i="4"/>
  <c r="CT8" i="4"/>
  <c r="CQ8" i="4"/>
  <c r="CM8" i="4"/>
  <c r="CI8" i="4"/>
  <c r="CE8" i="4"/>
  <c r="CB8" i="4"/>
  <c r="BY8" i="4"/>
  <c r="BU8" i="4"/>
  <c r="BQ8" i="4"/>
  <c r="BM8" i="4"/>
  <c r="BI8" i="4"/>
  <c r="BE8" i="4"/>
  <c r="BA8" i="4"/>
  <c r="AW8" i="4"/>
  <c r="AS8" i="4"/>
  <c r="AO8" i="4"/>
  <c r="AK8" i="4"/>
  <c r="AG8" i="4"/>
  <c r="AC8" i="4"/>
  <c r="Y8" i="4"/>
  <c r="U8" i="4"/>
  <c r="R8" i="4"/>
  <c r="P8" i="4"/>
  <c r="L8" i="4"/>
  <c r="H8" i="4"/>
  <c r="A8" i="4"/>
  <c r="FQ7" i="4"/>
  <c r="FM7" i="4"/>
  <c r="FI7" i="4"/>
  <c r="FE7" i="4"/>
  <c r="FA7" i="4"/>
  <c r="EW7" i="4"/>
  <c r="ES7" i="4"/>
  <c r="EO7" i="4"/>
  <c r="EK7" i="4"/>
  <c r="EG7" i="4"/>
  <c r="EC7" i="4"/>
  <c r="DY7" i="4"/>
  <c r="DI7" i="4"/>
  <c r="DE7" i="4"/>
  <c r="DB7" i="4"/>
  <c r="CX7" i="4"/>
  <c r="CT7" i="4"/>
  <c r="CQ7" i="4"/>
  <c r="CM7" i="4"/>
  <c r="CI7" i="4"/>
  <c r="CE7" i="4"/>
  <c r="CB7" i="4"/>
  <c r="BY7" i="4"/>
  <c r="BU7" i="4"/>
  <c r="BQ7" i="4"/>
  <c r="BM7" i="4"/>
  <c r="BI7" i="4"/>
  <c r="BE7" i="4"/>
  <c r="BA7" i="4"/>
  <c r="AW7" i="4"/>
  <c r="AS7" i="4"/>
  <c r="AO7" i="4"/>
  <c r="AK7" i="4"/>
  <c r="AG7" i="4"/>
  <c r="AC7" i="4"/>
  <c r="Y7" i="4"/>
  <c r="U7" i="4"/>
  <c r="R7" i="4"/>
  <c r="P7" i="4"/>
  <c r="L7" i="4"/>
  <c r="H7" i="4"/>
  <c r="A7" i="4"/>
  <c r="FQ6" i="4"/>
  <c r="FM6" i="4"/>
  <c r="FI6" i="4"/>
  <c r="FE6" i="4"/>
  <c r="FA6" i="4"/>
  <c r="EW6" i="4"/>
  <c r="ES6" i="4"/>
  <c r="EO6" i="4"/>
  <c r="EK6" i="4"/>
  <c r="EG6" i="4"/>
  <c r="EC6" i="4"/>
  <c r="DY6" i="4"/>
  <c r="DI6" i="4"/>
  <c r="DE6" i="4"/>
  <c r="DB6" i="4"/>
  <c r="CX6" i="4"/>
  <c r="CT6" i="4"/>
  <c r="CQ6" i="4"/>
  <c r="CM6" i="4"/>
  <c r="CI6" i="4"/>
  <c r="CE6" i="4"/>
  <c r="CB6" i="4"/>
  <c r="BY6" i="4"/>
  <c r="BU6" i="4"/>
  <c r="BQ6" i="4"/>
  <c r="BM6" i="4"/>
  <c r="BI6" i="4"/>
  <c r="BE6" i="4"/>
  <c r="BA6" i="4"/>
  <c r="AW6" i="4"/>
  <c r="AS6" i="4"/>
  <c r="AO6" i="4"/>
  <c r="AK6" i="4"/>
  <c r="AG6" i="4"/>
  <c r="AC6" i="4"/>
  <c r="Y6" i="4"/>
  <c r="U6" i="4"/>
  <c r="R6" i="4"/>
  <c r="P6" i="4"/>
  <c r="L6" i="4"/>
  <c r="H6" i="4"/>
  <c r="A6" i="4"/>
  <c r="FQ5" i="4"/>
  <c r="FM5" i="4"/>
  <c r="FI5" i="4"/>
  <c r="FE5" i="4"/>
  <c r="FA5" i="4"/>
  <c r="EW5" i="4"/>
  <c r="ES5" i="4"/>
  <c r="EO5" i="4"/>
  <c r="EK5" i="4"/>
  <c r="EG5" i="4"/>
  <c r="EC5" i="4"/>
  <c r="DY5" i="4"/>
  <c r="DU5" i="4"/>
  <c r="DQ5" i="4"/>
  <c r="DM5" i="4"/>
  <c r="DI5" i="4"/>
  <c r="DE5" i="4"/>
  <c r="DB5" i="4"/>
  <c r="CX5" i="4"/>
  <c r="CT5" i="4"/>
  <c r="CQ5" i="4"/>
  <c r="CM5" i="4"/>
  <c r="CI5" i="4"/>
  <c r="CE5" i="4"/>
  <c r="CB5" i="4"/>
  <c r="BY5" i="4"/>
  <c r="BU5" i="4"/>
  <c r="BQ5" i="4"/>
  <c r="BM5" i="4"/>
  <c r="BI5" i="4"/>
  <c r="BE5" i="4"/>
  <c r="BA5" i="4"/>
  <c r="AW5" i="4"/>
  <c r="AS5" i="4"/>
  <c r="AO5" i="4"/>
  <c r="AK5" i="4"/>
  <c r="AG5" i="4"/>
  <c r="AC5" i="4"/>
  <c r="H5" i="4"/>
  <c r="A5" i="4"/>
  <c r="FO4" i="4"/>
  <c r="FN4" i="4"/>
  <c r="FQ4" i="4" s="1"/>
  <c r="FK4" i="4"/>
  <c r="FJ4" i="4"/>
  <c r="FG4" i="4"/>
  <c r="FF4" i="4"/>
  <c r="FC4" i="4"/>
  <c r="FB4" i="4"/>
  <c r="EY4" i="4"/>
  <c r="EX4" i="4"/>
  <c r="FA4" i="4" s="1"/>
  <c r="EU4" i="4"/>
  <c r="ET4" i="4"/>
  <c r="EQ4" i="4"/>
  <c r="EP4" i="4"/>
  <c r="EM4" i="4"/>
  <c r="EL4" i="4"/>
  <c r="EI4" i="4"/>
  <c r="EH4" i="4"/>
  <c r="EE4" i="4"/>
  <c r="ED4" i="4"/>
  <c r="EA4" i="4"/>
  <c r="DZ4" i="4"/>
  <c r="DW4" i="4"/>
  <c r="DV4" i="4"/>
  <c r="DS4" i="4"/>
  <c r="DR4" i="4"/>
  <c r="DN4" i="4"/>
  <c r="DQ4" i="4" s="1"/>
  <c r="DK4" i="4"/>
  <c r="DJ4" i="4"/>
  <c r="DG4" i="4"/>
  <c r="DF4" i="4"/>
  <c r="DC4" i="4"/>
  <c r="CZ4" i="4"/>
  <c r="CY4" i="4"/>
  <c r="CV4" i="4"/>
  <c r="CU4" i="4"/>
  <c r="CR4" i="4"/>
  <c r="CO4" i="4"/>
  <c r="CN4" i="4"/>
  <c r="CK4" i="4"/>
  <c r="CJ4" i="4"/>
  <c r="CG4" i="4"/>
  <c r="CF4" i="4"/>
  <c r="CI4" i="4" s="1"/>
  <c r="CC4" i="4"/>
  <c r="BZ4" i="4"/>
  <c r="BW4" i="4"/>
  <c r="BV4" i="4"/>
  <c r="BY4" i="4" s="1"/>
  <c r="BS4" i="4"/>
  <c r="BR4" i="4"/>
  <c r="BO4" i="4"/>
  <c r="BN4" i="4"/>
  <c r="BQ4" i="4" s="1"/>
  <c r="BK4" i="4"/>
  <c r="BJ4" i="4"/>
  <c r="BG4" i="4"/>
  <c r="BF4" i="4"/>
  <c r="BC4" i="4"/>
  <c r="BB4" i="4"/>
  <c r="AY4" i="4"/>
  <c r="AX4" i="4"/>
  <c r="AU4" i="4"/>
  <c r="AT4" i="4"/>
  <c r="AQ4" i="4"/>
  <c r="AP4" i="4"/>
  <c r="AM4" i="4"/>
  <c r="AL4" i="4"/>
  <c r="AI4" i="4"/>
  <c r="AH4" i="4"/>
  <c r="AE4" i="4"/>
  <c r="AD4" i="4"/>
  <c r="AA4" i="4"/>
  <c r="Z4" i="4"/>
  <c r="W4" i="4"/>
  <c r="V4" i="4"/>
  <c r="S4" i="4"/>
  <c r="N4" i="4"/>
  <c r="M4" i="4"/>
  <c r="J4" i="4"/>
  <c r="I4" i="4"/>
  <c r="F4" i="4"/>
  <c r="E4" i="4"/>
  <c r="C4" i="4"/>
  <c r="A4" i="4" s="1"/>
  <c r="FN2" i="4"/>
  <c r="FJ2" i="4"/>
  <c r="FF2" i="4"/>
  <c r="FB2" i="4"/>
  <c r="EX2" i="4"/>
  <c r="ET2" i="4"/>
  <c r="EP2" i="4"/>
  <c r="EL2" i="4"/>
  <c r="EH2" i="4"/>
  <c r="ED2" i="4"/>
  <c r="DZ2" i="4"/>
  <c r="DV2" i="4"/>
  <c r="DR2" i="4"/>
  <c r="DN2" i="4"/>
  <c r="DJ2" i="4"/>
  <c r="H4" i="4" l="1"/>
  <c r="R4" i="4"/>
  <c r="FM4" i="4"/>
  <c r="DE4" i="4"/>
  <c r="EW4" i="4"/>
  <c r="Y4" i="4"/>
  <c r="AG4" i="4"/>
  <c r="AO4" i="4"/>
  <c r="AW4" i="4"/>
  <c r="BM4" i="4"/>
  <c r="CM4" i="4"/>
  <c r="BA4" i="4"/>
  <c r="CE4" i="4"/>
  <c r="DY4" i="4"/>
  <c r="EG4" i="4"/>
  <c r="EO4" i="4"/>
  <c r="DU4" i="4"/>
  <c r="EK4" i="4"/>
  <c r="FI4" i="4"/>
  <c r="CB4" i="4"/>
  <c r="DB4" i="4"/>
  <c r="BI4" i="4"/>
  <c r="CT4" i="4"/>
  <c r="DI4" i="4"/>
  <c r="U4" i="4"/>
  <c r="L4" i="4"/>
  <c r="P4" i="4"/>
  <c r="AC4" i="4"/>
  <c r="BE4" i="4"/>
  <c r="CQ4" i="4"/>
  <c r="CX4" i="4"/>
  <c r="DM4" i="4"/>
  <c r="EC4" i="4"/>
  <c r="FE4" i="4"/>
  <c r="AK4" i="4"/>
  <c r="AS4" i="4"/>
  <c r="BU4" i="4"/>
  <c r="ES4" i="4"/>
</calcChain>
</file>

<file path=xl/sharedStrings.xml><?xml version="1.0" encoding="utf-8"?>
<sst xmlns="http://schemas.openxmlformats.org/spreadsheetml/2006/main" count="734" uniqueCount="285">
  <si>
    <t>Business Unit</t>
  </si>
  <si>
    <t>Business model</t>
  </si>
  <si>
    <t>Project uploaded date (Start date at which data uploaded in the tool)</t>
  </si>
  <si>
    <t>Project Name</t>
  </si>
  <si>
    <t>Sub Project  name</t>
  </si>
  <si>
    <t xml:space="preserve">NA </t>
  </si>
  <si>
    <t>Project Type</t>
  </si>
  <si>
    <t>Project Code</t>
  </si>
  <si>
    <t>Sub project code</t>
  </si>
  <si>
    <t>Lifecyle</t>
  </si>
  <si>
    <t>Project start date</t>
  </si>
  <si>
    <t>Project completion date</t>
  </si>
  <si>
    <t>Platform</t>
  </si>
  <si>
    <t>Sub Project start date</t>
  </si>
  <si>
    <t>Sub Project completion date</t>
  </si>
  <si>
    <t>Technology</t>
  </si>
  <si>
    <t>Project Location</t>
  </si>
  <si>
    <t>City Name</t>
  </si>
  <si>
    <t>Language</t>
  </si>
  <si>
    <t>Senior Manager Name</t>
  </si>
  <si>
    <t>Project Manager</t>
  </si>
  <si>
    <t>Subproject owner name</t>
  </si>
  <si>
    <t>QA Name</t>
  </si>
  <si>
    <t>PL/Uplaoder Name</t>
  </si>
  <si>
    <t>Reporting From Date</t>
  </si>
  <si>
    <t>Reporting To Date</t>
  </si>
  <si>
    <t>Sap ID</t>
  </si>
  <si>
    <t xml:space="preserve">Total number of internal and customer reported defects </t>
  </si>
  <si>
    <t>Total enhancement or development effort in Person Hours</t>
  </si>
  <si>
    <t xml:space="preserve"> No of coding defects found at coding phase </t>
  </si>
  <si>
    <t>Code development effort in Person Hours</t>
  </si>
  <si>
    <t xml:space="preserve"> No. of injected coding defects of the enhancement </t>
  </si>
  <si>
    <t xml:space="preserve"> Code development effort of the enhancement in Person Hours</t>
  </si>
  <si>
    <t xml:space="preserve">No. of injected coding defects of a defect type for the enhancement </t>
  </si>
  <si>
    <t xml:space="preserve">Total no of IT, ST test cases automated </t>
  </si>
  <si>
    <t>Total no of IT, ST test cases</t>
  </si>
  <si>
    <t>No of valid product defects as accepted by Customer</t>
  </si>
  <si>
    <t xml:space="preserve">No of defects identified in the 'tested' product by HCL </t>
  </si>
  <si>
    <t>Number of Internal and Customer Reported Defects</t>
  </si>
  <si>
    <t>Actual Effort</t>
  </si>
  <si>
    <t>No. of deliverables accepted without any comments (month)</t>
  </si>
  <si>
    <t>No. of deliverables for which feedback is received in that month</t>
  </si>
  <si>
    <t>Number of Defects Identified during Internal Testing</t>
  </si>
  <si>
    <t>Number of Defects Identified by Customer during Testing</t>
  </si>
  <si>
    <t>No of test cases reused</t>
  </si>
  <si>
    <t>total no of test cases</t>
  </si>
  <si>
    <t>Pre-delivery errors which includes review defects as well as testing defects</t>
  </si>
  <si>
    <t xml:space="preserve"> Post –delivery defects. This will comprise of  defects found after the release.</t>
  </si>
  <si>
    <t xml:space="preserve">Failure Effort </t>
  </si>
  <si>
    <t>Total testing effort</t>
  </si>
  <si>
    <t>Rework effort at coding phase</t>
  </si>
  <si>
    <t>Total coding effort in Person Hours</t>
  </si>
  <si>
    <t xml:space="preserve">No of code review defects </t>
  </si>
  <si>
    <t>No of coding defects identified in subsequent phases(testing)</t>
  </si>
  <si>
    <t xml:space="preserve">No of maintenance request that were reopened by the customer </t>
  </si>
  <si>
    <t>No of maintenance request that were serviced for the release</t>
  </si>
  <si>
    <t>No of lines of code (in LOC)</t>
  </si>
  <si>
    <t xml:space="preserve">No of lines of code (in LOC) reviewed </t>
  </si>
  <si>
    <t>No of test cases executed</t>
  </si>
  <si>
    <t>Test execution effort (in Person Hours)</t>
  </si>
  <si>
    <t xml:space="preserve">Test development effort </t>
  </si>
  <si>
    <t>No. of test cases reviewed</t>
  </si>
  <si>
    <t>No of test cases developed</t>
  </si>
  <si>
    <t>total review effort</t>
  </si>
  <si>
    <t>Code review effort in Person Hours</t>
  </si>
  <si>
    <t>(Total No of pages in the Requirements artifacs (SRS document)</t>
  </si>
  <si>
    <t>Total review effort spent on Requirement artifacts.</t>
  </si>
  <si>
    <t>Number of requirements tested</t>
  </si>
  <si>
    <t>Tested Actual Effort</t>
  </si>
  <si>
    <t>Number of test cases tested</t>
  </si>
  <si>
    <t>(No of Scripts debugged)</t>
  </si>
  <si>
    <t>(Debugging effort per release)</t>
  </si>
  <si>
    <t>Injected Defect Density (IDD)</t>
  </si>
  <si>
    <t>Coding Contained Defect Density (CCDD)</t>
  </si>
  <si>
    <t>Name</t>
  </si>
  <si>
    <t>Logical Flow Coding Injected Defect Density</t>
  </si>
  <si>
    <t>User Interface Coding Injected Defect Density</t>
  </si>
  <si>
    <t>Inadequate Reqt. Coverage Coding Injected Defect Density</t>
  </si>
  <si>
    <t>% test automation - Functional test level</t>
  </si>
  <si>
    <t>% Test Automation - Functional test level</t>
  </si>
  <si>
    <t>Defect Validity Index</t>
  </si>
  <si>
    <t>Documentation Error Defect Density</t>
  </si>
  <si>
    <t>Incomplete Test Cases / Scenario Defect Density</t>
  </si>
  <si>
    <t>Incorrect Test Cases / Scenario Defect Density</t>
  </si>
  <si>
    <t>Number of Internal  Incomplete Test Cases and Customer Reported Defects</t>
  </si>
  <si>
    <t>Number of Internal  Incorrect Test Cases and Customer Reported Defects</t>
  </si>
  <si>
    <t>First Time Right, FTR (%)</t>
  </si>
  <si>
    <t>Injected Defect Density
(%)</t>
  </si>
  <si>
    <t>Testing Effectiveness (TE)</t>
  </si>
  <si>
    <t>Test case Reusability</t>
  </si>
  <si>
    <t>Defect Removal Efficiency (DRE)</t>
  </si>
  <si>
    <t xml:space="preserve">Defect Removal Efficiency </t>
  </si>
  <si>
    <t>Cost of Poor Quality (COPQ)</t>
  </si>
  <si>
    <t xml:space="preserve">Cost of Poor Quality </t>
  </si>
  <si>
    <t>Coding Cost of Poor Quality</t>
  </si>
  <si>
    <t>Code Review Effectiveness</t>
  </si>
  <si>
    <t>Fix Validity Index</t>
  </si>
  <si>
    <t>Productivity (P)</t>
  </si>
  <si>
    <t>Code Development rate</t>
  </si>
  <si>
    <t>Test execution rate</t>
  </si>
  <si>
    <t>Test development rate</t>
  </si>
  <si>
    <t>Test Review Rate</t>
  </si>
  <si>
    <t>Code review rate</t>
  </si>
  <si>
    <t>Requirements Review rate</t>
  </si>
  <si>
    <t>Overall Productivity (Requirements)</t>
  </si>
  <si>
    <t>Overall Productivity (Test Cases)</t>
  </si>
  <si>
    <t>Script Debug rate</t>
  </si>
  <si>
    <t>Total no of review defects</t>
  </si>
  <si>
    <t xml:space="preserve"> total no of testing defects</t>
  </si>
  <si>
    <t>Review effectiveness</t>
  </si>
  <si>
    <t>Metrics --&gt;</t>
  </si>
  <si>
    <t>Coding Contained Defect Density (%)</t>
  </si>
  <si>
    <t>Base Measure 7</t>
  </si>
  <si>
    <t>Base Measure 8</t>
  </si>
  <si>
    <t>Base Measure 9</t>
  </si>
  <si>
    <t>Base Measure 10</t>
  </si>
  <si>
    <t xml:space="preserve">ERS Conventional Metrics Data Collection Sheet </t>
  </si>
  <si>
    <t>Key Observation</t>
  </si>
  <si>
    <t>Corrective Actions Planned</t>
  </si>
  <si>
    <t>Remarks</t>
  </si>
  <si>
    <t>Base Measure 11</t>
  </si>
  <si>
    <t>Base Measure 12</t>
  </si>
  <si>
    <t>Base Measure 13</t>
  </si>
  <si>
    <t>Base Measure 14</t>
  </si>
  <si>
    <t>Base Measure 15</t>
  </si>
  <si>
    <t>Base Measure 16</t>
  </si>
  <si>
    <t>Base Measure 17</t>
  </si>
  <si>
    <t>Base Measure 18</t>
  </si>
  <si>
    <t>Base Measure 19</t>
  </si>
  <si>
    <t>Base Measure 20</t>
  </si>
  <si>
    <t>Base Measure 21</t>
  </si>
  <si>
    <t>Base Measure 22</t>
  </si>
  <si>
    <t>Base Measure 23</t>
  </si>
  <si>
    <t>Base Measure 24</t>
  </si>
  <si>
    <t>Base Measure 25</t>
  </si>
  <si>
    <t>Base Measure 26</t>
  </si>
  <si>
    <t>Base Measure 27</t>
  </si>
  <si>
    <t>Base Measure 28</t>
  </si>
  <si>
    <t>Base Measure 29</t>
  </si>
  <si>
    <t>Base Measure 30</t>
  </si>
  <si>
    <t>Goal</t>
  </si>
  <si>
    <t>Applicability Project Type</t>
  </si>
  <si>
    <t>Metrics</t>
  </si>
  <si>
    <t>Dev/ Enhancement</t>
  </si>
  <si>
    <t>SW-Maintenance</t>
  </si>
  <si>
    <t xml:space="preserve">SW_Testing </t>
  </si>
  <si>
    <t>SW_RegTest</t>
  </si>
  <si>
    <t>Applicable Phase</t>
  </si>
  <si>
    <t>Name of the measure</t>
  </si>
  <si>
    <t>Purpose(Meaning of the measure)</t>
  </si>
  <si>
    <t>Calculation formula</t>
  </si>
  <si>
    <t>Unit of measure</t>
  </si>
  <si>
    <t>Developer - Junior&amp;Senior</t>
  </si>
  <si>
    <t>Tester</t>
  </si>
  <si>
    <t>Verification Engineer - Junior&amp;Senior</t>
  </si>
  <si>
    <t>Project Lead</t>
  </si>
  <si>
    <t xml:space="preserve">Architect </t>
  </si>
  <si>
    <t>Project Manager- HCL owned</t>
  </si>
  <si>
    <t xml:space="preserve">Project Manager- Cust Owned </t>
  </si>
  <si>
    <t>CAD Engineer</t>
  </si>
  <si>
    <t>Technical Lead</t>
  </si>
  <si>
    <t>Tech Pub Engineer</t>
  </si>
  <si>
    <t>Test Lead</t>
  </si>
  <si>
    <t>Support Engineer</t>
  </si>
  <si>
    <t>Technical Architect</t>
  </si>
  <si>
    <t>Board Design lead</t>
  </si>
  <si>
    <t>Technical Specialist/Writer</t>
  </si>
  <si>
    <t xml:space="preserve">Designer / Design Engineer </t>
  </si>
  <si>
    <t>Reviewer</t>
  </si>
  <si>
    <t>Build &amp; Release Engineer</t>
  </si>
  <si>
    <t>Hardware Design Specialist</t>
  </si>
  <si>
    <t>Reliability Engineer</t>
  </si>
  <si>
    <t>UI Developer</t>
  </si>
  <si>
    <t>SL
No.</t>
  </si>
  <si>
    <t>Quality</t>
  </si>
  <si>
    <t>Yes</t>
  </si>
  <si>
    <t>Overall</t>
  </si>
  <si>
    <t>To compute the no of defects injected for the effort spent in  Total enhancement or development.</t>
  </si>
  <si>
    <t>Total number of internal and customer reported defects / Total enhancement or development effort in Person Hours</t>
  </si>
  <si>
    <t>No/PH</t>
  </si>
  <si>
    <t>Coding</t>
  </si>
  <si>
    <t xml:space="preserve">To compute the no of coding defects found during coding phase for the effort spent in code development  </t>
  </si>
  <si>
    <t xml:space="preserve"> No of coding defects found at coding phase / Code development effort in Person Hours</t>
  </si>
  <si>
    <t>To compute the coding injected defect density( coding injected defects for the enhancement/development) per person hour spent in code development of the enhancement</t>
  </si>
  <si>
    <t xml:space="preserve"> No. of injected coding defects of the enhancement / Code development effort of the enhancement in Person Hours</t>
  </si>
  <si>
    <t>No./PH</t>
  </si>
  <si>
    <t>To compute the coding injected defect density of a defect type( coding injected defects for the enhancement) per person hour spent in code development of the enhancement. This measure is used in developing PPM models for defect types</t>
  </si>
  <si>
    <t> No. of injected coding defects of a defect type for the enhancement / Code development effort of the enhancement in Person Hours</t>
  </si>
  <si>
    <t>Testing</t>
  </si>
  <si>
    <t>To compute the % test automation at IT and ST level</t>
  </si>
  <si>
    <t>[Total no of IT, ST test cases automated / Total no of IT, ST test cases]*100</t>
  </si>
  <si>
    <t>%</t>
  </si>
  <si>
    <t>To measure the valid defects ratio with respect to the total defects</t>
  </si>
  <si>
    <t xml:space="preserve">No of valid product defects as accepted by Customer*100 / No of defects identified in the 'tested' product by HCL </t>
  </si>
  <si>
    <t>Test Review</t>
  </si>
  <si>
    <t>Measure the Documentation Error injected defects density for a given project size</t>
  </si>
  <si>
    <t>Number of Internal and Customer Reported Defects / Actual Effort</t>
  </si>
  <si>
    <t>Defects/Hr</t>
  </si>
  <si>
    <t>Measure the Incomplete Test Cases / Scenario injected defects density for a given project size</t>
  </si>
  <si>
    <t>Measure the Incorrect Test Cases / Scenario injected defects density for a given project size</t>
  </si>
  <si>
    <t xml:space="preserve">To compute the % of deliverables accepted by the customer in the first instance itself, i.e. % of deliverable accepted by the customer without any defects </t>
  </si>
  <si>
    <t>(No. of deliverables accepted without any comments (month) / No. of deliverables for which feedback is received in that month)*100</t>
  </si>
  <si>
    <t>To compute the effectiveness of testing process</t>
  </si>
  <si>
    <t>[Number of Defects Identified during Internal Testing/ (Number of Defects Identified during Internal Testing+Number of Defects Identified by Customer during Testing)]*100</t>
  </si>
  <si>
    <t>To compute the % of test cases that were reused</t>
  </si>
  <si>
    <t>[No of test cases reused / total no of test cases]*100</t>
  </si>
  <si>
    <t xml:space="preserve">To compute the effectiveness of internal defect identification and resolution processes </t>
  </si>
  <si>
    <t>To compute the % effort spent in internal failure and external failure when compared to the  Total enhancement or development effort</t>
  </si>
  <si>
    <t>COPQ= (Failure Effort /Total testing effort)*100
COF= Rework effort (due to Review, Testing, Inspection and Post Release defects) PM Effort is not included in COPQ</t>
  </si>
  <si>
    <t>To compute the % effort spent in internal failure and external failure during coding phase when compared to overall coding phase effort</t>
  </si>
  <si>
    <t>Rework effort at coding phase/ Total coding effort in Person Hours*100</t>
  </si>
  <si>
    <t>To compute the overall effectiveness of review process</t>
  </si>
  <si>
    <t>[Total no of review defects / (Total no of review defects+ total no of testing defects)]*100</t>
  </si>
  <si>
    <t>To compute the effectiveness of review process at construction phase</t>
  </si>
  <si>
    <t>[No of code review defects / (No of code review defects+No of coding defects identified in subsequent phases(testing))]*100</t>
  </si>
  <si>
    <t>to compute % validity of the maintenance request that were serviced by the project team</t>
  </si>
  <si>
    <t>[1- (No of maintenance request that were reopened by the customer / No of maintenance request that were serviced for the release)]*100</t>
  </si>
  <si>
    <t>Productivity</t>
  </si>
  <si>
    <t>To compute the productivity of Enhancement or Development.</t>
  </si>
  <si>
    <t>Dev: LOC/ Total enhancement or development effort (in Person Hours)</t>
  </si>
  <si>
    <t>LOC/PH</t>
  </si>
  <si>
    <t>To compute the LOC developed per person hour.</t>
  </si>
  <si>
    <t>No of lines of code (in LOC) reviewed / Code development effort in Person Hours</t>
  </si>
  <si>
    <t>To compute number of test cases executed per person hours.</t>
  </si>
  <si>
    <t>No of test cases executed / Test execution effort (in Person Hours)</t>
  </si>
  <si>
    <t>To compute number of test cases developed per person hours.</t>
  </si>
  <si>
    <t xml:space="preserve">No of test cases/ Test development effort </t>
  </si>
  <si>
    <t>No of Test Cases/PH</t>
  </si>
  <si>
    <t>To ascertain the rate of test cases review</t>
  </si>
  <si>
    <t>No. of test cases reviewed/total review effort</t>
  </si>
  <si>
    <t>Test cases/PHrs</t>
  </si>
  <si>
    <t>To compute the LOC reviewed per person hour.</t>
  </si>
  <si>
    <t>No of lines of code (in LOC) reviewed / Code review effort in Person Hours</t>
  </si>
  <si>
    <t>Requirements</t>
  </si>
  <si>
    <t>To compute the rate at which requirement workproducts are reviewed</t>
  </si>
  <si>
    <t>(Total No of pages in the Requirements artifacs (SRS document) /Total review effort spent on Requirement artifacts.</t>
  </si>
  <si>
    <t>Measure the productivity of the testing project</t>
  </si>
  <si>
    <t>Number of requirements tested / Actual Effort</t>
  </si>
  <si>
    <t>Requirements/Hr</t>
  </si>
  <si>
    <t>Number of test cases tested / Actual Effort</t>
  </si>
  <si>
    <t>Test cases/Hr</t>
  </si>
  <si>
    <t xml:space="preserve">Test Execution </t>
  </si>
  <si>
    <t>To Compute # of days spent per FTE to debug a script</t>
  </si>
  <si>
    <t>(No of Scripts debugged / Debugging effort per release)</t>
  </si>
  <si>
    <t>Scripts / day</t>
  </si>
  <si>
    <r>
      <rPr>
        <b/>
        <sz val="10"/>
        <rFont val="Calibri"/>
        <family val="2"/>
        <scheme val="minor"/>
      </rPr>
      <t xml:space="preserve">DRE= (E/ E+D) *100  </t>
    </r>
    <r>
      <rPr>
        <sz val="10"/>
        <rFont val="Calibri"/>
        <family val="2"/>
        <scheme val="minor"/>
      </rPr>
      <t xml:space="preserve">
1)  E = Pre-delivery errors which includes review defects as well as testing defects
2)  D= Post –delivery defects. This will comprise of  defects found after the release.</t>
    </r>
  </si>
  <si>
    <t>Actual</t>
  </si>
  <si>
    <t>Applicable in your account. Select (Yes/No)</t>
  </si>
  <si>
    <t>Metrics4</t>
  </si>
  <si>
    <t>Metrics5</t>
  </si>
  <si>
    <t>Metrics6</t>
  </si>
  <si>
    <t>Metrics7</t>
  </si>
  <si>
    <t>Metrics8</t>
  </si>
  <si>
    <t>Metrics9</t>
  </si>
  <si>
    <t>Metrics10</t>
  </si>
  <si>
    <t>Metrics11</t>
  </si>
  <si>
    <t>Metrics12</t>
  </si>
  <si>
    <t>Metrics13</t>
  </si>
  <si>
    <t>Metrics14</t>
  </si>
  <si>
    <t>Metrics15</t>
  </si>
  <si>
    <t>Quality 
Metrics</t>
  </si>
  <si>
    <t>Productivity 
Metrics</t>
  </si>
  <si>
    <t>Customer/
Project Specific 
Metrics</t>
  </si>
  <si>
    <t>All Metrics</t>
  </si>
  <si>
    <t>Step 3. 
Select the Metrics Applicable below list</t>
  </si>
  <si>
    <t>Select 
Role</t>
  </si>
  <si>
    <t>Project Metric --&gt;</t>
  </si>
  <si>
    <t>PR Resolved</t>
  </si>
  <si>
    <t>Reopen PRs</t>
  </si>
  <si>
    <t>UT Code</t>
  </si>
  <si>
    <t>Month</t>
  </si>
  <si>
    <t>PRs Reopened</t>
  </si>
  <si>
    <t>Week(S)</t>
  </si>
  <si>
    <t>UT Automation Code</t>
  </si>
  <si>
    <t>MBH</t>
  </si>
  <si>
    <t>SYED SALAHUDDIN</t>
  </si>
  <si>
    <t>VENKATA SWAROOP</t>
  </si>
  <si>
    <t>PALANIVEL JAGANATHAN</t>
  </si>
  <si>
    <t>HariPrasad Mada</t>
  </si>
  <si>
    <t>C144607</t>
  </si>
  <si>
    <t>Sec Apps Dev</t>
  </si>
  <si>
    <t>Rony Joseph</t>
  </si>
  <si>
    <t>Suryansh Gupta</t>
  </si>
  <si>
    <t>Ravi Singh</t>
  </si>
  <si>
    <t>Amit Saxena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</si>
</sst>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;@"/>
    <numFmt numFmtId="165" formatCode="[$-409]mmmm\-yy;@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color indexed="52"/>
      <name val="Calibri"/>
      <family val="2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20"/>
      <name val="Arial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0"/>
      <color indexed="52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8"/>
      <color indexed="8"/>
      <name val="Verdana"/>
      <family val="2"/>
    </font>
  </fonts>
  <fills count="1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0">
    <xf numFmtId="0" fontId="0" fillId="0" borderId="0"/>
    <xf numFmtId="0" fontId="2" fillId="0" borderId="0"/>
    <xf numFmtId="0" fontId="4" fillId="4" borderId="2" applyNumberFormat="0" applyAlignment="0" applyProtection="0"/>
    <xf numFmtId="0" fontId="5" fillId="0" borderId="0" applyNumberFormat="0" applyFill="0" applyBorder="0" applyAlignment="0" applyProtection="0">
      <alignment vertical="top"/>
      <protection locked="0"/>
    </xf>
    <xf numFmtId="0" fontId="2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2" fillId="0" borderId="0"/>
  </cellStyleXfs>
  <cellXfs count="93">
    <xf numFmtId="0" fontId="0" fillId="0" borderId="0" xfId="0"/>
    <xf numFmtId="0" fontId="2" fillId="0" borderId="0" xfId="1" applyFont="1"/>
    <xf numFmtId="0" fontId="2" fillId="0" borderId="0" xfId="1"/>
    <xf numFmtId="0" fontId="2" fillId="0" borderId="1" xfId="1" applyFont="1" applyBorder="1"/>
    <xf numFmtId="15" fontId="3" fillId="6" borderId="1" xfId="1" applyNumberFormat="1" applyFont="1" applyFill="1" applyBorder="1" applyAlignment="1" applyProtection="1">
      <alignment vertical="top" wrapText="1"/>
    </xf>
    <xf numFmtId="0" fontId="3" fillId="6" borderId="1" xfId="1" applyFont="1" applyFill="1" applyBorder="1" applyAlignment="1" applyProtection="1">
      <alignment vertical="top" wrapText="1"/>
    </xf>
    <xf numFmtId="0" fontId="3" fillId="6" borderId="1" xfId="1" applyFont="1" applyFill="1" applyBorder="1"/>
    <xf numFmtId="0" fontId="8" fillId="7" borderId="1" xfId="4" applyFont="1" applyFill="1" applyBorder="1" applyAlignment="1" applyProtection="1">
      <alignment horizontal="center" vertical="center"/>
      <protection locked="0"/>
    </xf>
    <xf numFmtId="165" fontId="8" fillId="7" borderId="1" xfId="1" applyNumberFormat="1" applyFont="1" applyFill="1" applyBorder="1" applyAlignment="1" applyProtection="1">
      <alignment horizontal="center" vertical="center" wrapText="1"/>
      <protection locked="0"/>
    </xf>
    <xf numFmtId="49" fontId="8" fillId="7" borderId="1" xfId="1" applyNumberFormat="1" applyFont="1" applyFill="1" applyBorder="1" applyAlignment="1" applyProtection="1">
      <alignment horizontal="center" vertical="center" wrapText="1"/>
      <protection locked="0"/>
    </xf>
    <xf numFmtId="0" fontId="9" fillId="3" borderId="1" xfId="0" applyFont="1" applyFill="1" applyBorder="1" applyAlignment="1">
      <alignment horizontal="center" vertical="center" wrapText="1"/>
    </xf>
    <xf numFmtId="0" fontId="9" fillId="3" borderId="4" xfId="0" applyFont="1" applyFill="1" applyBorder="1" applyAlignment="1">
      <alignment horizontal="center" vertical="center" wrapText="1"/>
    </xf>
    <xf numFmtId="0" fontId="9" fillId="3" borderId="5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10" fillId="0" borderId="1" xfId="1" applyFont="1" applyFill="1" applyBorder="1" applyAlignment="1" applyProtection="1">
      <alignment horizontal="center" vertical="center" wrapText="1"/>
    </xf>
    <xf numFmtId="0" fontId="11" fillId="0" borderId="0" xfId="1" applyFont="1" applyAlignment="1" applyProtection="1">
      <alignment wrapText="1"/>
      <protection locked="0"/>
    </xf>
    <xf numFmtId="164" fontId="11" fillId="0" borderId="0" xfId="1" applyNumberFormat="1" applyFont="1" applyAlignment="1" applyProtection="1">
      <alignment wrapText="1"/>
      <protection locked="0"/>
    </xf>
    <xf numFmtId="0" fontId="10" fillId="2" borderId="1" xfId="1" applyFont="1" applyFill="1" applyBorder="1" applyAlignment="1" applyProtection="1">
      <alignment horizontal="center" wrapText="1"/>
    </xf>
    <xf numFmtId="0" fontId="10" fillId="2" borderId="1" xfId="1" applyFont="1" applyFill="1" applyBorder="1" applyAlignment="1" applyProtection="1">
      <alignment horizontal="center" vertical="center" wrapText="1"/>
    </xf>
    <xf numFmtId="164" fontId="10" fillId="2" borderId="1" xfId="1" applyNumberFormat="1" applyFont="1" applyFill="1" applyBorder="1" applyAlignment="1" applyProtection="1">
      <alignment horizontal="center" vertical="center" wrapText="1"/>
    </xf>
    <xf numFmtId="0" fontId="10" fillId="8" borderId="1" xfId="1" applyFont="1" applyFill="1" applyBorder="1" applyAlignment="1" applyProtection="1">
      <alignment horizontal="center" vertical="center" wrapText="1"/>
      <protection locked="0"/>
    </xf>
    <xf numFmtId="0" fontId="11" fillId="0" borderId="0" xfId="1" applyFont="1" applyAlignment="1" applyProtection="1">
      <alignment vertical="center" wrapText="1"/>
      <protection locked="0"/>
    </xf>
    <xf numFmtId="2" fontId="11" fillId="0" borderId="1" xfId="1" applyNumberFormat="1" applyFont="1" applyBorder="1" applyAlignment="1" applyProtection="1">
      <alignment horizontal="center" wrapText="1"/>
      <protection locked="0"/>
    </xf>
    <xf numFmtId="0" fontId="11" fillId="0" borderId="1" xfId="1" applyFont="1" applyBorder="1" applyAlignment="1" applyProtection="1">
      <alignment horizontal="center" wrapText="1"/>
      <protection locked="0"/>
    </xf>
    <xf numFmtId="2" fontId="11" fillId="0" borderId="1" xfId="1" applyNumberFormat="1" applyFont="1" applyBorder="1" applyAlignment="1" applyProtection="1">
      <alignment horizontal="center" vertical="center" wrapText="1"/>
      <protection locked="0"/>
    </xf>
    <xf numFmtId="0" fontId="11" fillId="0" borderId="0" xfId="1" applyFont="1" applyAlignment="1" applyProtection="1">
      <alignment horizontal="center" vertical="center" wrapText="1"/>
      <protection locked="0"/>
    </xf>
    <xf numFmtId="0" fontId="11" fillId="0" borderId="1" xfId="1" applyFont="1" applyBorder="1" applyAlignment="1" applyProtection="1">
      <alignment wrapText="1"/>
      <protection locked="0"/>
    </xf>
    <xf numFmtId="164" fontId="11" fillId="0" borderId="1" xfId="1" applyNumberFormat="1" applyFont="1" applyBorder="1" applyAlignment="1" applyProtection="1">
      <alignment wrapText="1"/>
      <protection locked="0"/>
    </xf>
    <xf numFmtId="164" fontId="11" fillId="0" borderId="3" xfId="1" applyNumberFormat="1" applyFont="1" applyBorder="1" applyAlignment="1" applyProtection="1">
      <alignment wrapText="1"/>
      <protection locked="0"/>
    </xf>
    <xf numFmtId="2" fontId="10" fillId="8" borderId="1" xfId="2" applyNumberFormat="1" applyFont="1" applyFill="1" applyBorder="1" applyAlignment="1" applyProtection="1">
      <alignment horizontal="center" vertical="center" wrapText="1"/>
    </xf>
    <xf numFmtId="1" fontId="12" fillId="5" borderId="1" xfId="2" applyNumberFormat="1" applyFont="1" applyFill="1" applyBorder="1" applyAlignment="1" applyProtection="1">
      <alignment horizontal="center" vertical="center" wrapText="1"/>
    </xf>
    <xf numFmtId="2" fontId="10" fillId="10" borderId="1" xfId="1" applyNumberFormat="1" applyFont="1" applyFill="1" applyBorder="1" applyAlignment="1" applyProtection="1">
      <alignment horizontal="center" vertical="center" wrapText="1"/>
    </xf>
    <xf numFmtId="2" fontId="10" fillId="8" borderId="1" xfId="2" applyNumberFormat="1" applyFont="1" applyFill="1" applyBorder="1" applyAlignment="1" applyProtection="1">
      <alignment horizontal="center" wrapText="1"/>
    </xf>
    <xf numFmtId="0" fontId="13" fillId="6" borderId="1" xfId="1" applyFont="1" applyFill="1" applyBorder="1" applyAlignment="1" applyProtection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11" fillId="14" borderId="1" xfId="1" applyFont="1" applyFill="1" applyBorder="1" applyAlignment="1" applyProtection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11" fillId="14" borderId="1" xfId="1" applyFont="1" applyFill="1" applyBorder="1" applyAlignment="1" applyProtection="1">
      <alignment horizontal="center" vertical="center" wrapText="1"/>
    </xf>
    <xf numFmtId="0" fontId="11" fillId="10" borderId="1" xfId="1" applyFont="1" applyFill="1" applyBorder="1" applyAlignment="1" applyProtection="1">
      <alignment horizontal="center" vertical="center" wrapText="1"/>
    </xf>
    <xf numFmtId="0" fontId="11" fillId="15" borderId="1" xfId="0" applyFont="1" applyFill="1" applyBorder="1" applyAlignment="1">
      <alignment horizontal="center" vertical="center" wrapText="1"/>
    </xf>
    <xf numFmtId="0" fontId="11" fillId="10" borderId="1" xfId="0" applyFont="1" applyFill="1" applyBorder="1" applyAlignment="1">
      <alignment horizontal="center" vertical="center" wrapText="1"/>
    </xf>
    <xf numFmtId="0" fontId="11" fillId="7" borderId="1" xfId="1" applyFont="1" applyFill="1" applyBorder="1" applyAlignment="1" applyProtection="1">
      <alignment horizontal="center" vertical="center" wrapText="1"/>
    </xf>
    <xf numFmtId="0" fontId="11" fillId="0" borderId="1" xfId="1" applyFont="1" applyFill="1" applyBorder="1" applyAlignment="1" applyProtection="1">
      <alignment horizontal="left" vertical="center" wrapText="1"/>
    </xf>
    <xf numFmtId="0" fontId="11" fillId="0" borderId="1" xfId="1" applyFont="1" applyFill="1" applyBorder="1" applyAlignment="1" applyProtection="1">
      <alignment horizontal="center" vertical="center"/>
    </xf>
    <xf numFmtId="0" fontId="11" fillId="14" borderId="1" xfId="1" applyFont="1" applyFill="1" applyBorder="1" applyAlignment="1" applyProtection="1">
      <alignment horizontal="left" vertical="center" wrapText="1"/>
    </xf>
    <xf numFmtId="0" fontId="9" fillId="0" borderId="4" xfId="0" applyFont="1" applyBorder="1" applyAlignment="1">
      <alignment horizontal="center" vertical="center" wrapText="1"/>
    </xf>
    <xf numFmtId="0" fontId="11" fillId="14" borderId="1" xfId="1" applyFont="1" applyFill="1" applyBorder="1" applyAlignment="1" applyProtection="1">
      <alignment horizontal="left" vertical="center"/>
    </xf>
    <xf numFmtId="0" fontId="11" fillId="0" borderId="1" xfId="0" applyFont="1" applyFill="1" applyBorder="1" applyAlignment="1" applyProtection="1">
      <alignment horizontal="center" vertical="center" wrapText="1"/>
    </xf>
    <xf numFmtId="0" fontId="11" fillId="14" borderId="1" xfId="1" applyFont="1" applyFill="1" applyBorder="1" applyAlignment="1" applyProtection="1">
      <alignment vertical="center" wrapText="1"/>
    </xf>
    <xf numFmtId="0" fontId="9" fillId="7" borderId="1" xfId="0" applyFont="1" applyFill="1" applyBorder="1" applyAlignment="1">
      <alignment horizontal="center"/>
    </xf>
    <xf numFmtId="0" fontId="15" fillId="7" borderId="7" xfId="0" applyFont="1" applyFill="1" applyBorder="1" applyAlignment="1">
      <alignment horizontal="center" vertical="center"/>
    </xf>
    <xf numFmtId="0" fontId="0" fillId="0" borderId="0" xfId="0" applyFont="1"/>
    <xf numFmtId="164" fontId="10" fillId="11" borderId="4" xfId="1" applyNumberFormat="1" applyFont="1" applyFill="1" applyBorder="1" applyAlignment="1" applyProtection="1">
      <alignment vertical="center" wrapText="1"/>
    </xf>
    <xf numFmtId="164" fontId="10" fillId="11" borderId="6" xfId="1" applyNumberFormat="1" applyFont="1" applyFill="1" applyBorder="1" applyAlignment="1" applyProtection="1">
      <alignment vertical="center" wrapText="1"/>
    </xf>
    <xf numFmtId="0" fontId="10" fillId="8" borderId="5" xfId="1" applyFont="1" applyFill="1" applyBorder="1" applyAlignment="1" applyProtection="1">
      <alignment horizontal="center" vertical="center" wrapText="1"/>
      <protection locked="0"/>
    </xf>
    <xf numFmtId="0" fontId="14" fillId="3" borderId="1" xfId="0" applyFont="1" applyFill="1" applyBorder="1" applyAlignment="1">
      <alignment horizontal="center" vertical="center" wrapText="1"/>
    </xf>
    <xf numFmtId="14" fontId="2" fillId="0" borderId="1" xfId="1" applyNumberFormat="1" applyFont="1" applyBorder="1"/>
    <xf numFmtId="164" fontId="10" fillId="2" borderId="1" xfId="1" applyNumberFormat="1" applyFont="1" applyFill="1" applyBorder="1" applyAlignment="1" applyProtection="1">
      <alignment horizontal="center" vertical="center" wrapText="1"/>
    </xf>
    <xf numFmtId="0" fontId="17" fillId="15" borderId="8" xfId="0" applyNumberFormat="1" applyFont="1" applyFill="1" applyBorder="1" applyAlignment="1" applyProtection="1">
      <alignment vertical="center"/>
    </xf>
    <xf numFmtId="0" fontId="11" fillId="0" borderId="1" xfId="1" applyFont="1" applyBorder="1" applyAlignment="1" applyProtection="1">
      <alignment horizontal="center" vertical="center" wrapText="1"/>
      <protection locked="0"/>
    </xf>
    <xf numFmtId="0" fontId="11" fillId="0" borderId="0" xfId="1" applyFont="1" applyFill="1" applyAlignment="1" applyProtection="1">
      <alignment vertical="center" wrapText="1"/>
      <protection locked="0"/>
    </xf>
    <xf numFmtId="10" fontId="10" fillId="10" borderId="1" xfId="1" applyNumberFormat="1" applyFont="1" applyFill="1" applyBorder="1" applyAlignment="1" applyProtection="1">
      <alignment horizontal="center" vertical="center" wrapText="1"/>
    </xf>
    <xf numFmtId="10" fontId="10" fillId="8" borderId="1" xfId="2" applyNumberFormat="1" applyFont="1" applyFill="1" applyBorder="1" applyAlignment="1" applyProtection="1">
      <alignment horizontal="center" vertical="center" wrapText="1"/>
    </xf>
    <xf numFmtId="10" fontId="11" fillId="0" borderId="1" xfId="1" applyNumberFormat="1" applyFont="1" applyBorder="1" applyAlignment="1" applyProtection="1">
      <alignment horizontal="center" vertical="center" wrapText="1"/>
      <protection locked="0"/>
    </xf>
    <xf numFmtId="15" fontId="7" fillId="6" borderId="1" xfId="1" applyNumberFormat="1" applyFont="1" applyFill="1" applyBorder="1" applyAlignment="1" applyProtection="1">
      <alignment horizontal="center" vertical="top" wrapText="1"/>
    </xf>
    <xf numFmtId="0" fontId="16" fillId="17" borderId="1" xfId="0" applyFont="1" applyFill="1" applyBorder="1" applyAlignment="1">
      <alignment horizontal="center" vertical="center" wrapText="1"/>
    </xf>
    <xf numFmtId="0" fontId="14" fillId="18" borderId="1" xfId="0" applyFont="1" applyFill="1" applyBorder="1" applyAlignment="1">
      <alignment horizontal="center" vertical="center" wrapText="1"/>
    </xf>
    <xf numFmtId="0" fontId="14" fillId="13" borderId="1" xfId="0" applyFont="1" applyFill="1" applyBorder="1" applyAlignment="1">
      <alignment horizontal="center" vertical="center" wrapText="1"/>
    </xf>
    <xf numFmtId="0" fontId="14" fillId="16" borderId="1" xfId="0" applyFont="1" applyFill="1" applyBorder="1" applyAlignment="1">
      <alignment horizontal="center" vertical="center" wrapText="1"/>
    </xf>
    <xf numFmtId="164" fontId="10" fillId="12" borderId="4" xfId="1" applyNumberFormat="1" applyFont="1" applyFill="1" applyBorder="1" applyAlignment="1" applyProtection="1">
      <alignment horizontal="center" vertical="center" wrapText="1"/>
    </xf>
    <xf numFmtId="164" fontId="10" fillId="12" borderId="6" xfId="1" applyNumberFormat="1" applyFont="1" applyFill="1" applyBorder="1" applyAlignment="1" applyProtection="1">
      <alignment horizontal="center" vertical="center" wrapText="1"/>
    </xf>
    <xf numFmtId="164" fontId="10" fillId="12" borderId="5" xfId="1" applyNumberFormat="1" applyFont="1" applyFill="1" applyBorder="1" applyAlignment="1" applyProtection="1">
      <alignment horizontal="center" vertical="center" wrapText="1"/>
    </xf>
    <xf numFmtId="164" fontId="10" fillId="9" borderId="4" xfId="1" applyNumberFormat="1" applyFont="1" applyFill="1" applyBorder="1" applyAlignment="1" applyProtection="1">
      <alignment horizontal="center" vertical="center" wrapText="1"/>
    </xf>
    <xf numFmtId="164" fontId="10" fillId="9" borderId="6" xfId="1" applyNumberFormat="1" applyFont="1" applyFill="1" applyBorder="1" applyAlignment="1" applyProtection="1">
      <alignment horizontal="center" vertical="center" wrapText="1"/>
    </xf>
    <xf numFmtId="164" fontId="10" fillId="9" borderId="5" xfId="1" applyNumberFormat="1" applyFont="1" applyFill="1" applyBorder="1" applyAlignment="1" applyProtection="1">
      <alignment horizontal="center" vertical="center" wrapText="1"/>
    </xf>
    <xf numFmtId="0" fontId="10" fillId="3" borderId="1" xfId="1" applyFont="1" applyFill="1" applyBorder="1" applyAlignment="1" applyProtection="1">
      <alignment horizontal="center" wrapText="1"/>
      <protection locked="0"/>
    </xf>
    <xf numFmtId="2" fontId="10" fillId="8" borderId="4" xfId="2" applyNumberFormat="1" applyFont="1" applyFill="1" applyBorder="1" applyAlignment="1" applyProtection="1">
      <alignment horizontal="center" vertical="center" wrapText="1"/>
    </xf>
    <xf numFmtId="2" fontId="10" fillId="8" borderId="6" xfId="2" applyNumberFormat="1" applyFont="1" applyFill="1" applyBorder="1" applyAlignment="1" applyProtection="1">
      <alignment horizontal="center" vertical="center" wrapText="1"/>
    </xf>
    <xf numFmtId="2" fontId="10" fillId="8" borderId="5" xfId="2" applyNumberFormat="1" applyFont="1" applyFill="1" applyBorder="1" applyAlignment="1" applyProtection="1">
      <alignment horizontal="center" vertical="center" wrapText="1"/>
    </xf>
    <xf numFmtId="164" fontId="10" fillId="11" borderId="4" xfId="1" applyNumberFormat="1" applyFont="1" applyFill="1" applyBorder="1" applyAlignment="1" applyProtection="1">
      <alignment horizontal="center" vertical="center" wrapText="1"/>
    </xf>
    <xf numFmtId="164" fontId="10" fillId="11" borderId="6" xfId="1" applyNumberFormat="1" applyFont="1" applyFill="1" applyBorder="1" applyAlignment="1" applyProtection="1">
      <alignment horizontal="center" vertical="center" wrapText="1"/>
    </xf>
    <xf numFmtId="164" fontId="10" fillId="11" borderId="5" xfId="1" applyNumberFormat="1" applyFont="1" applyFill="1" applyBorder="1" applyAlignment="1" applyProtection="1">
      <alignment horizontal="center" vertical="center" wrapText="1"/>
    </xf>
    <xf numFmtId="164" fontId="10" fillId="7" borderId="1" xfId="1" applyNumberFormat="1" applyFont="1" applyFill="1" applyBorder="1" applyAlignment="1" applyProtection="1">
      <alignment horizontal="center" vertical="center" wrapText="1"/>
    </xf>
    <xf numFmtId="164" fontId="10" fillId="2" borderId="1" xfId="1" applyNumberFormat="1" applyFont="1" applyFill="1" applyBorder="1" applyAlignment="1" applyProtection="1">
      <alignment horizontal="center" vertical="center" wrapText="1"/>
    </xf>
    <xf numFmtId="0" fontId="13" fillId="3" borderId="1" xfId="1" applyFont="1" applyFill="1" applyBorder="1" applyAlignment="1" applyProtection="1">
      <alignment horizontal="center" vertical="center" wrapText="1"/>
    </xf>
    <xf numFmtId="0" fontId="13" fillId="6" borderId="4" xfId="1" applyFont="1" applyFill="1" applyBorder="1" applyAlignment="1" applyProtection="1">
      <alignment horizontal="center" vertical="center" wrapText="1"/>
    </xf>
    <xf numFmtId="0" fontId="13" fillId="6" borderId="6" xfId="1" applyFont="1" applyFill="1" applyBorder="1" applyAlignment="1" applyProtection="1">
      <alignment horizontal="center" vertical="center" wrapText="1"/>
    </xf>
    <xf numFmtId="0" fontId="13" fillId="6" borderId="5" xfId="1" applyFont="1" applyFill="1" applyBorder="1" applyAlignment="1" applyProtection="1">
      <alignment horizontal="center" vertical="center" wrapText="1"/>
    </xf>
    <xf numFmtId="0" fontId="14" fillId="13" borderId="4" xfId="0" applyFont="1" applyFill="1" applyBorder="1" applyAlignment="1">
      <alignment horizontal="center" vertical="center"/>
    </xf>
    <xf numFmtId="0" fontId="14" fillId="13" borderId="6" xfId="0" applyFont="1" applyFill="1" applyBorder="1" applyAlignment="1">
      <alignment horizontal="center" vertical="center"/>
    </xf>
    <xf numFmtId="0" fontId="14" fillId="13" borderId="5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</cellXfs>
  <cellStyles count="10">
    <cellStyle name="Calculation 2" xfId="2" xr:uid="{00000000-0005-0000-0000-000000000000}"/>
    <cellStyle name="Hyperlink 2" xfId="3" xr:uid="{00000000-0005-0000-0000-000001000000}"/>
    <cellStyle name="Normal" xfId="0" builtinId="0"/>
    <cellStyle name="Normal 2" xfId="1" xr:uid="{00000000-0005-0000-0000-000003000000}"/>
    <cellStyle name="Normal 2 2 2" xfId="9" xr:uid="{00000000-0005-0000-0000-000004000000}"/>
    <cellStyle name="Normal 2_C081309_Risk_matrix_PSPT0X_PPM_Datasheet_Template_V3.4_August" xfId="4" xr:uid="{00000000-0005-0000-0000-000005000000}"/>
    <cellStyle name="Normal 3" xfId="5" xr:uid="{00000000-0005-0000-0000-000006000000}"/>
    <cellStyle name="Normal 4" xfId="6" xr:uid="{00000000-0005-0000-0000-000007000000}"/>
    <cellStyle name="Normal 4 11" xfId="7" xr:uid="{00000000-0005-0000-0000-000008000000}"/>
    <cellStyle name="Normal 4 3" xfId="8" xr:uid="{00000000-0005-0000-0000-000009000000}"/>
  </cellStyles>
  <dxfs count="29"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theme="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123825</xdr:colOff>
      <xdr:row>3</xdr:row>
      <xdr:rowOff>152400</xdr:rowOff>
    </xdr:from>
    <xdr:to>
      <xdr:col>6</xdr:col>
      <xdr:colOff>266700</xdr:colOff>
      <xdr:row>5</xdr:row>
      <xdr:rowOff>445770</xdr:rowOff>
    </xdr:to>
    <xdr:sp macro="[0]!Metrics_Selection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6838950" y="1285875"/>
          <a:ext cx="1828800" cy="731520"/>
        </a:xfrm>
        <a:prstGeom prst="roundRect">
          <a:avLst>
            <a:gd name="adj" fmla="val 50000"/>
          </a:avLst>
        </a:prstGeom>
        <a:solidFill>
          <a:srgbClr val="00B050"/>
        </a:solidFill>
        <a:scene3d>
          <a:camera prst="orthographicFront"/>
          <a:lightRig rig="threePt" dir="t"/>
        </a:scene3d>
        <a:sp3d prstMaterial="metal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Step 2.</a:t>
          </a:r>
          <a:r>
            <a:rPr lang="en-US" sz="1100" b="1" u="sng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Show</a:t>
          </a:r>
          <a:r>
            <a:rPr lang="en-US" sz="1100" b="1" u="sng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Metrics</a:t>
          </a:r>
          <a:endParaRPr lang="en-US" b="1" u="sng">
            <a:effectLst/>
          </a:endParaRPr>
        </a:p>
      </xdr:txBody>
    </xdr:sp>
    <xdr:clientData/>
  </xdr:twoCellAnchor>
  <xdr:twoCellAnchor>
    <xdr:from>
      <xdr:col>0</xdr:col>
      <xdr:colOff>619124</xdr:colOff>
      <xdr:row>0</xdr:row>
      <xdr:rowOff>28576</xdr:rowOff>
    </xdr:from>
    <xdr:to>
      <xdr:col>9</xdr:col>
      <xdr:colOff>1276350</xdr:colOff>
      <xdr:row>1</xdr:row>
      <xdr:rowOff>133350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19124" y="28576"/>
          <a:ext cx="11010901" cy="771524"/>
        </a:xfrm>
        <a:prstGeom prst="rect">
          <a:avLst/>
        </a:prstGeom>
        <a:solidFill>
          <a:schemeClr val="tx1">
            <a:lumMod val="95000"/>
            <a:lumOff val="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600" b="1" u="sng">
              <a:solidFill>
                <a:schemeClr val="bg1"/>
              </a:solidFill>
            </a:rPr>
            <a:t>Instructions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u="none">
              <a:solidFill>
                <a:schemeClr val="bg1"/>
              </a:solidFill>
            </a:rPr>
            <a:t>Step 1: 	Select the </a:t>
          </a:r>
          <a:r>
            <a:rPr lang="en-US" sz="1200" b="1" u="sng" baseline="0">
              <a:solidFill>
                <a:schemeClr val="bg1"/>
              </a:solidFill>
              <a:latin typeface="+mn-lt"/>
              <a:ea typeface="+mn-ea"/>
              <a:cs typeface="+mn-cs"/>
            </a:rPr>
            <a:t>Project Type </a:t>
          </a:r>
          <a:r>
            <a:rPr lang="en-US" sz="1200" b="1" u="none" baseline="0">
              <a:solidFill>
                <a:schemeClr val="bg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u="none" baseline="0">
              <a:solidFill>
                <a:schemeClr val="bg1"/>
              </a:solidFill>
            </a:rPr>
            <a:t>from the drop down list. </a:t>
          </a:r>
          <a:r>
            <a:rPr lang="en-US" sz="1100" b="1" u="none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                                                 </a:t>
          </a:r>
          <a:r>
            <a:rPr lang="en-US" sz="1100" b="1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Step 3: 	Select the  </a:t>
          </a:r>
          <a:r>
            <a:rPr lang="en-US" sz="1100" b="1" u="sng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Metrics Applicable  </a:t>
          </a:r>
          <a:r>
            <a:rPr lang="en-US" sz="1100" b="1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from the list  by indicating (Yes/No)</a:t>
          </a:r>
          <a:endParaRPr lang="en-US">
            <a:solidFill>
              <a:schemeClr val="bg1"/>
            </a:solidFill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u="none" baseline="0">
              <a:solidFill>
                <a:schemeClr val="bg1"/>
              </a:solidFill>
            </a:rPr>
            <a:t>Step 2: 	Click on </a:t>
          </a:r>
          <a:r>
            <a:rPr lang="en-US" sz="1200" b="1" u="sng" baseline="0">
              <a:solidFill>
                <a:schemeClr val="bg1"/>
              </a:solidFill>
            </a:rPr>
            <a:t>Show Metrics</a:t>
          </a:r>
          <a:r>
            <a:rPr lang="en-US" sz="1200" b="1" u="none" baseline="0">
              <a:solidFill>
                <a:schemeClr val="bg1"/>
              </a:solidFill>
            </a:rPr>
            <a:t> </a:t>
          </a:r>
          <a:r>
            <a:rPr lang="en-US" sz="1100" b="1" u="none" baseline="0">
              <a:solidFill>
                <a:schemeClr val="bg1"/>
              </a:solidFill>
            </a:rPr>
            <a:t>Button  to view applicable  metrics type                         </a:t>
          </a:r>
          <a:r>
            <a:rPr lang="en-US" sz="1100" b="1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Step 4: 	Click on the</a:t>
          </a:r>
          <a:r>
            <a:rPr lang="en-US" sz="1100" b="1" u="none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 u="sng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Metric Generator</a:t>
          </a:r>
          <a:r>
            <a:rPr lang="en-US" sz="1100" b="1" u="none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Button to view selected metrics in Data_Sheet</a:t>
          </a:r>
          <a:endParaRPr lang="en-US">
            <a:solidFill>
              <a:schemeClr val="bg1"/>
            </a:solidFill>
            <a:effectLst/>
          </a:endParaRPr>
        </a:p>
        <a:p>
          <a:endParaRPr lang="en-US" sz="1100" b="1" u="none" baseline="0">
            <a:solidFill>
              <a:schemeClr val="bg1"/>
            </a:solidFill>
          </a:endParaRPr>
        </a:p>
        <a:p>
          <a:r>
            <a:rPr lang="en-US">
              <a:solidFill>
                <a:schemeClr val="bg1"/>
              </a:solidFill>
              <a:effectLst/>
            </a:rPr>
            <a:t>`</a:t>
          </a:r>
        </a:p>
      </xdr:txBody>
    </xdr:sp>
    <xdr:clientData/>
  </xdr:twoCellAnchor>
  <xdr:twoCellAnchor>
    <xdr:from>
      <xdr:col>7</xdr:col>
      <xdr:colOff>571499</xdr:colOff>
      <xdr:row>3</xdr:row>
      <xdr:rowOff>152398</xdr:rowOff>
    </xdr:from>
    <xdr:to>
      <xdr:col>9</xdr:col>
      <xdr:colOff>1181099</xdr:colOff>
      <xdr:row>5</xdr:row>
      <xdr:rowOff>445768</xdr:rowOff>
    </xdr:to>
    <xdr:sp macro="[0]!Metrics_View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9582149" y="1285873"/>
          <a:ext cx="1828800" cy="731520"/>
        </a:xfrm>
        <a:prstGeom prst="roundRect">
          <a:avLst>
            <a:gd name="adj" fmla="val 50000"/>
          </a:avLst>
        </a:prstGeom>
        <a:solidFill>
          <a:srgbClr val="00B050"/>
        </a:solidFill>
        <a:scene3d>
          <a:camera prst="orthographicFront"/>
          <a:lightRig rig="threePt" dir="t"/>
        </a:scene3d>
        <a:sp3d prstMaterial="metal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Step</a:t>
          </a:r>
          <a:r>
            <a:rPr lang="en-US" sz="1100" b="1" u="sng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4.</a:t>
          </a:r>
          <a:r>
            <a:rPr lang="en-US" sz="1100" b="1" u="sng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>
            <a:effectLst/>
          </a:endParaRPr>
        </a:p>
        <a:p>
          <a:pPr algn="ctr"/>
          <a:r>
            <a:rPr lang="en-US" sz="1100" b="1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Metrics</a:t>
          </a:r>
          <a:r>
            <a:rPr lang="en-US" sz="1100" b="1" u="sng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Generator</a:t>
          </a:r>
          <a:r>
            <a:rPr 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>
            <a:effectLst/>
          </a:endParaRPr>
        </a:p>
      </xdr:txBody>
    </xdr:sp>
    <xdr:clientData/>
  </xdr:twoCellAnchor>
  <xdr:twoCellAnchor>
    <xdr:from>
      <xdr:col>0</xdr:col>
      <xdr:colOff>180976</xdr:colOff>
      <xdr:row>2</xdr:row>
      <xdr:rowOff>19051</xdr:rowOff>
    </xdr:from>
    <xdr:to>
      <xdr:col>1</xdr:col>
      <xdr:colOff>1019175</xdr:colOff>
      <xdr:row>4</xdr:row>
      <xdr:rowOff>133350</xdr:rowOff>
    </xdr:to>
    <xdr:sp macro="" textlink="">
      <xdr:nvSpPr>
        <xdr:cNvPr id="3" name="Right Arrow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80976" y="876301"/>
          <a:ext cx="2190749" cy="514349"/>
        </a:xfrm>
        <a:prstGeom prst="rightArrow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Step 1:</a:t>
          </a:r>
          <a:r>
            <a:rPr lang="en-US" sz="1100" b="1" u="sng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Select</a:t>
          </a:r>
          <a:r>
            <a:rPr lang="en-US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the Project Type</a:t>
          </a:r>
          <a:endParaRPr lang="en-US">
            <a:effectLst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00.35.244\ls\Documents%20and%20Settings\Administrator\Desktop\28082008\Templates\Agile%20Sprint%20WorkBook%201%200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00.35.244\ls\Documents%20and%20Settings\anumathew\Local%20Settings\Temp\Agile%20Sprint%20WorkBook%201%200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ksanjeev/Local%20Settings/Temporary%20Internet%20Files/Content.IE5/7344HY93/Defects_SDK4.0_FacadeEnh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information"/>
      <sheetName val="Planning"/>
      <sheetName val="Sprint"/>
      <sheetName val="Velocity"/>
      <sheetName val="Analysis"/>
      <sheetName val="Sprint Review Report"/>
      <sheetName val="Guidelines "/>
      <sheetName val="Agile_Metric_Guide"/>
      <sheetName val="Conventional_Metrics_Guide"/>
      <sheetName val="Picklist1"/>
      <sheetName val="Types"/>
      <sheetName val="Cummulative"/>
    </sheetNames>
    <sheetDataSet>
      <sheetData sheetId="0" refreshError="1"/>
      <sheetData sheetId="1">
        <row r="9">
          <cell r="B9">
            <v>39630</v>
          </cell>
        </row>
        <row r="43">
          <cell r="B43">
            <v>0</v>
          </cell>
        </row>
        <row r="44">
          <cell r="B44">
            <v>0</v>
          </cell>
        </row>
        <row r="47">
          <cell r="B47">
            <v>3</v>
          </cell>
        </row>
        <row r="48">
          <cell r="B48">
            <v>1</v>
          </cell>
        </row>
        <row r="49">
          <cell r="B49">
            <v>2</v>
          </cell>
        </row>
        <row r="50">
          <cell r="B50">
            <v>3</v>
          </cell>
        </row>
      </sheetData>
      <sheetData sheetId="2">
        <row r="1">
          <cell r="L1">
            <v>39630</v>
          </cell>
          <cell r="O1">
            <v>39631</v>
          </cell>
          <cell r="R1">
            <v>39632</v>
          </cell>
          <cell r="U1">
            <v>39633</v>
          </cell>
          <cell r="X1">
            <v>39634</v>
          </cell>
          <cell r="AA1">
            <v>39635</v>
          </cell>
          <cell r="AD1">
            <v>39636</v>
          </cell>
          <cell r="AG1">
            <v>39637</v>
          </cell>
          <cell r="AJ1">
            <v>39638</v>
          </cell>
          <cell r="AM1">
            <v>39639</v>
          </cell>
          <cell r="AP1">
            <v>39640</v>
          </cell>
          <cell r="AS1">
            <v>39641</v>
          </cell>
          <cell r="AV1">
            <v>39642</v>
          </cell>
          <cell r="AY1">
            <v>39643</v>
          </cell>
          <cell r="BB1">
            <v>39644</v>
          </cell>
          <cell r="BE1">
            <v>39645</v>
          </cell>
          <cell r="BH1">
            <v>39646</v>
          </cell>
          <cell r="BK1">
            <v>39647</v>
          </cell>
          <cell r="BN1">
            <v>39648</v>
          </cell>
          <cell r="BQ1">
            <v>39649</v>
          </cell>
          <cell r="BT1">
            <v>39650</v>
          </cell>
          <cell r="BW1">
            <v>39651</v>
          </cell>
          <cell r="BZ1">
            <v>39652</v>
          </cell>
          <cell r="CC1">
            <v>39653</v>
          </cell>
          <cell r="CF1">
            <v>39654</v>
          </cell>
        </row>
        <row r="4">
          <cell r="L4">
            <v>0</v>
          </cell>
          <cell r="M4">
            <v>11</v>
          </cell>
          <cell r="N4" t="str">
            <v>Pending</v>
          </cell>
          <cell r="O4">
            <v>0</v>
          </cell>
          <cell r="P4">
            <v>11</v>
          </cell>
          <cell r="Q4" t="str">
            <v>Pending</v>
          </cell>
          <cell r="R4">
            <v>0</v>
          </cell>
          <cell r="S4">
            <v>11</v>
          </cell>
          <cell r="T4" t="str">
            <v>Pending</v>
          </cell>
          <cell r="V4">
            <v>11</v>
          </cell>
          <cell r="W4" t="str">
            <v>Pending</v>
          </cell>
          <cell r="X4">
            <v>0</v>
          </cell>
          <cell r="Y4">
            <v>11</v>
          </cell>
          <cell r="Z4" t="str">
            <v>Pending</v>
          </cell>
          <cell r="AA4">
            <v>0</v>
          </cell>
          <cell r="AB4">
            <v>11</v>
          </cell>
          <cell r="AC4" t="str">
            <v>Pending</v>
          </cell>
          <cell r="AD4">
            <v>0</v>
          </cell>
          <cell r="AE4">
            <v>11</v>
          </cell>
          <cell r="AF4" t="str">
            <v>Pending</v>
          </cell>
          <cell r="AG4">
            <v>0</v>
          </cell>
          <cell r="AH4">
            <v>11</v>
          </cell>
          <cell r="AI4" t="str">
            <v>Pending</v>
          </cell>
          <cell r="AJ4">
            <v>0</v>
          </cell>
          <cell r="AK4">
            <v>11</v>
          </cell>
          <cell r="AL4" t="str">
            <v>Pending</v>
          </cell>
          <cell r="AM4">
            <v>0</v>
          </cell>
          <cell r="AN4">
            <v>11</v>
          </cell>
          <cell r="AO4" t="str">
            <v>Pending</v>
          </cell>
          <cell r="AP4">
            <v>0</v>
          </cell>
          <cell r="AQ4">
            <v>11</v>
          </cell>
          <cell r="AR4" t="str">
            <v>Pending</v>
          </cell>
          <cell r="AS4">
            <v>0</v>
          </cell>
          <cell r="AT4">
            <v>11</v>
          </cell>
          <cell r="AU4" t="str">
            <v>Pending</v>
          </cell>
          <cell r="AV4">
            <v>0</v>
          </cell>
          <cell r="AW4">
            <v>11</v>
          </cell>
          <cell r="AX4" t="str">
            <v>Pending</v>
          </cell>
          <cell r="AY4">
            <v>0</v>
          </cell>
          <cell r="AZ4">
            <v>11</v>
          </cell>
          <cell r="BA4" t="str">
            <v>Pending</v>
          </cell>
          <cell r="BB4">
            <v>0</v>
          </cell>
          <cell r="BC4">
            <v>11</v>
          </cell>
          <cell r="BD4" t="str">
            <v>Pending</v>
          </cell>
          <cell r="BE4">
            <v>0</v>
          </cell>
          <cell r="BF4">
            <v>11</v>
          </cell>
          <cell r="BG4" t="str">
            <v>Pending</v>
          </cell>
          <cell r="BH4">
            <v>0</v>
          </cell>
          <cell r="BI4">
            <v>11</v>
          </cell>
          <cell r="BJ4" t="str">
            <v>Pending</v>
          </cell>
          <cell r="BK4">
            <v>0</v>
          </cell>
          <cell r="BL4">
            <v>11</v>
          </cell>
          <cell r="BM4" t="str">
            <v>Pending</v>
          </cell>
          <cell r="BN4">
            <v>0</v>
          </cell>
          <cell r="BO4">
            <v>11</v>
          </cell>
          <cell r="BP4" t="str">
            <v>Pending</v>
          </cell>
          <cell r="BQ4">
            <v>0</v>
          </cell>
          <cell r="BR4">
            <v>11</v>
          </cell>
          <cell r="BS4" t="str">
            <v>Pending</v>
          </cell>
          <cell r="BT4">
            <v>0</v>
          </cell>
          <cell r="BU4">
            <v>11</v>
          </cell>
          <cell r="BV4" t="str">
            <v>Pending</v>
          </cell>
          <cell r="BW4">
            <v>0</v>
          </cell>
          <cell r="BX4">
            <v>11</v>
          </cell>
          <cell r="BY4" t="str">
            <v>Pending</v>
          </cell>
          <cell r="BZ4">
            <v>0</v>
          </cell>
          <cell r="CA4">
            <v>11</v>
          </cell>
          <cell r="CB4" t="str">
            <v>Pending</v>
          </cell>
          <cell r="CC4">
            <v>0</v>
          </cell>
          <cell r="CD4">
            <v>11</v>
          </cell>
          <cell r="CE4" t="str">
            <v>Pending</v>
          </cell>
          <cell r="CF4">
            <v>0</v>
          </cell>
          <cell r="CG4">
            <v>11</v>
          </cell>
          <cell r="CH4" t="str">
            <v>Pending</v>
          </cell>
          <cell r="CI4">
            <v>0</v>
          </cell>
        </row>
        <row r="5">
          <cell r="L5">
            <v>25</v>
          </cell>
          <cell r="M5">
            <v>25</v>
          </cell>
          <cell r="N5" t="str">
            <v>In Progress</v>
          </cell>
          <cell r="O5">
            <v>5</v>
          </cell>
          <cell r="P5">
            <v>20</v>
          </cell>
          <cell r="Q5" t="str">
            <v>In Progress</v>
          </cell>
          <cell r="R5">
            <v>10</v>
          </cell>
          <cell r="S5">
            <v>10</v>
          </cell>
          <cell r="T5" t="str">
            <v>In Progress</v>
          </cell>
          <cell r="U5">
            <v>5</v>
          </cell>
          <cell r="V5">
            <v>5</v>
          </cell>
          <cell r="W5" t="str">
            <v>In Progress</v>
          </cell>
          <cell r="X5">
            <v>5</v>
          </cell>
          <cell r="Y5">
            <v>0</v>
          </cell>
          <cell r="Z5" t="str">
            <v>Complete</v>
          </cell>
          <cell r="AA5">
            <v>0</v>
          </cell>
          <cell r="AB5">
            <v>0</v>
          </cell>
          <cell r="AC5" t="str">
            <v>Complete</v>
          </cell>
          <cell r="AD5">
            <v>0</v>
          </cell>
          <cell r="AE5">
            <v>0</v>
          </cell>
          <cell r="AF5" t="str">
            <v>Complete</v>
          </cell>
          <cell r="AG5">
            <v>0</v>
          </cell>
          <cell r="AH5">
            <v>0</v>
          </cell>
          <cell r="AI5" t="str">
            <v>Complete</v>
          </cell>
          <cell r="AJ5">
            <v>0</v>
          </cell>
          <cell r="AK5">
            <v>0</v>
          </cell>
          <cell r="AL5" t="str">
            <v>Complete</v>
          </cell>
          <cell r="AM5">
            <v>0</v>
          </cell>
          <cell r="AN5">
            <v>0</v>
          </cell>
          <cell r="AO5" t="str">
            <v>Complete</v>
          </cell>
          <cell r="AP5">
            <v>0</v>
          </cell>
          <cell r="AQ5">
            <v>0</v>
          </cell>
          <cell r="AR5" t="str">
            <v>Complete</v>
          </cell>
          <cell r="AT5">
            <v>0</v>
          </cell>
          <cell r="AU5" t="str">
            <v>Complete</v>
          </cell>
          <cell r="AW5">
            <v>0</v>
          </cell>
          <cell r="AX5" t="str">
            <v>Complete</v>
          </cell>
          <cell r="AZ5">
            <v>0</v>
          </cell>
          <cell r="BA5" t="str">
            <v>Complete</v>
          </cell>
          <cell r="BB5">
            <v>0</v>
          </cell>
          <cell r="BC5">
            <v>0</v>
          </cell>
          <cell r="BD5" t="str">
            <v>Complete</v>
          </cell>
          <cell r="BE5">
            <v>0</v>
          </cell>
          <cell r="BF5">
            <v>0</v>
          </cell>
          <cell r="BG5" t="str">
            <v>Complete</v>
          </cell>
          <cell r="BH5">
            <v>0</v>
          </cell>
          <cell r="BI5">
            <v>0</v>
          </cell>
          <cell r="BJ5" t="str">
            <v>Complete</v>
          </cell>
          <cell r="BK5">
            <v>0</v>
          </cell>
          <cell r="BL5">
            <v>0</v>
          </cell>
          <cell r="BM5" t="str">
            <v>Complete</v>
          </cell>
          <cell r="BN5">
            <v>0</v>
          </cell>
          <cell r="BO5">
            <v>0</v>
          </cell>
          <cell r="BP5" t="str">
            <v>Complete</v>
          </cell>
          <cell r="BQ5">
            <v>0</v>
          </cell>
          <cell r="BR5">
            <v>0</v>
          </cell>
          <cell r="BS5" t="str">
            <v>Complete</v>
          </cell>
          <cell r="BT5">
            <v>0</v>
          </cell>
          <cell r="BU5">
            <v>0</v>
          </cell>
          <cell r="BV5" t="str">
            <v>Complete</v>
          </cell>
          <cell r="BW5">
            <v>0</v>
          </cell>
          <cell r="BX5">
            <v>0</v>
          </cell>
          <cell r="BY5" t="str">
            <v>Complete</v>
          </cell>
          <cell r="BZ5">
            <v>0</v>
          </cell>
          <cell r="CA5">
            <v>0</v>
          </cell>
          <cell r="CB5" t="str">
            <v>Complete</v>
          </cell>
          <cell r="CC5">
            <v>0</v>
          </cell>
          <cell r="CD5">
            <v>0</v>
          </cell>
          <cell r="CE5" t="str">
            <v>Complete</v>
          </cell>
          <cell r="CF5">
            <v>0</v>
          </cell>
          <cell r="CG5">
            <v>0</v>
          </cell>
          <cell r="CH5" t="str">
            <v>Complete</v>
          </cell>
          <cell r="CI5">
            <v>50</v>
          </cell>
        </row>
        <row r="6">
          <cell r="L6">
            <v>0</v>
          </cell>
          <cell r="M6">
            <v>0</v>
          </cell>
          <cell r="N6" t="str">
            <v>Pending</v>
          </cell>
          <cell r="O6">
            <v>0</v>
          </cell>
          <cell r="P6">
            <v>0</v>
          </cell>
          <cell r="Q6" t="str">
            <v>Pending</v>
          </cell>
          <cell r="R6">
            <v>0</v>
          </cell>
          <cell r="S6">
            <v>0</v>
          </cell>
          <cell r="T6" t="str">
            <v>Pending</v>
          </cell>
          <cell r="U6">
            <v>0</v>
          </cell>
          <cell r="V6">
            <v>0</v>
          </cell>
          <cell r="W6" t="str">
            <v>Pending</v>
          </cell>
          <cell r="X6">
            <v>0</v>
          </cell>
          <cell r="Y6">
            <v>0</v>
          </cell>
          <cell r="Z6" t="str">
            <v>Pending</v>
          </cell>
          <cell r="AA6">
            <v>0</v>
          </cell>
          <cell r="AB6">
            <v>0</v>
          </cell>
          <cell r="AC6" t="str">
            <v>Pending</v>
          </cell>
          <cell r="AD6">
            <v>0</v>
          </cell>
          <cell r="AE6">
            <v>0</v>
          </cell>
          <cell r="AF6" t="str">
            <v>Pending</v>
          </cell>
          <cell r="AG6">
            <v>0</v>
          </cell>
          <cell r="AH6">
            <v>0</v>
          </cell>
          <cell r="AI6" t="str">
            <v>Pending</v>
          </cell>
          <cell r="AJ6">
            <v>0</v>
          </cell>
          <cell r="AK6">
            <v>0</v>
          </cell>
          <cell r="AL6" t="str">
            <v>Pending</v>
          </cell>
          <cell r="AM6">
            <v>0</v>
          </cell>
          <cell r="AN6">
            <v>0</v>
          </cell>
          <cell r="AO6" t="str">
            <v>Pending</v>
          </cell>
          <cell r="AP6">
            <v>0</v>
          </cell>
          <cell r="AQ6">
            <v>0</v>
          </cell>
          <cell r="AR6" t="str">
            <v>Pending</v>
          </cell>
          <cell r="AS6">
            <v>0</v>
          </cell>
          <cell r="AT6">
            <v>0</v>
          </cell>
          <cell r="AU6" t="str">
            <v>Pending</v>
          </cell>
          <cell r="AV6">
            <v>0</v>
          </cell>
          <cell r="AW6">
            <v>0</v>
          </cell>
          <cell r="AX6" t="str">
            <v>Pending</v>
          </cell>
          <cell r="AY6">
            <v>0</v>
          </cell>
          <cell r="AZ6">
            <v>0</v>
          </cell>
          <cell r="BA6" t="str">
            <v>Pending</v>
          </cell>
          <cell r="BB6">
            <v>0</v>
          </cell>
          <cell r="BC6">
            <v>0</v>
          </cell>
          <cell r="BD6" t="str">
            <v>Pending</v>
          </cell>
          <cell r="BE6">
            <v>0</v>
          </cell>
          <cell r="BF6">
            <v>0</v>
          </cell>
          <cell r="BG6" t="str">
            <v>Pending</v>
          </cell>
          <cell r="BH6">
            <v>0</v>
          </cell>
          <cell r="BI6">
            <v>0</v>
          </cell>
          <cell r="BJ6" t="str">
            <v>Pending</v>
          </cell>
          <cell r="BK6">
            <v>0</v>
          </cell>
          <cell r="BL6">
            <v>0</v>
          </cell>
          <cell r="BM6" t="str">
            <v>Pending</v>
          </cell>
          <cell r="BN6">
            <v>0</v>
          </cell>
          <cell r="BO6">
            <v>0</v>
          </cell>
          <cell r="BP6" t="str">
            <v>Pending</v>
          </cell>
          <cell r="BQ6">
            <v>0</v>
          </cell>
          <cell r="BR6">
            <v>0</v>
          </cell>
          <cell r="BS6" t="str">
            <v>Pending</v>
          </cell>
          <cell r="BT6">
            <v>0</v>
          </cell>
          <cell r="BU6">
            <v>0</v>
          </cell>
          <cell r="BV6" t="str">
            <v>Pending</v>
          </cell>
          <cell r="BW6">
            <v>0</v>
          </cell>
          <cell r="BX6">
            <v>0</v>
          </cell>
          <cell r="BY6" t="str">
            <v>Pending</v>
          </cell>
          <cell r="BZ6">
            <v>0</v>
          </cell>
          <cell r="CA6">
            <v>0</v>
          </cell>
          <cell r="CB6" t="str">
            <v>Pending</v>
          </cell>
          <cell r="CC6">
            <v>0</v>
          </cell>
          <cell r="CD6">
            <v>0</v>
          </cell>
          <cell r="CE6" t="str">
            <v>Pending</v>
          </cell>
          <cell r="CF6">
            <v>0</v>
          </cell>
          <cell r="CG6">
            <v>0</v>
          </cell>
          <cell r="CH6" t="str">
            <v>Pending</v>
          </cell>
          <cell r="CI6">
            <v>0</v>
          </cell>
        </row>
        <row r="7">
          <cell r="L7">
            <v>0</v>
          </cell>
          <cell r="M7">
            <v>0</v>
          </cell>
          <cell r="N7" t="str">
            <v>Pending</v>
          </cell>
          <cell r="O7">
            <v>0</v>
          </cell>
          <cell r="P7">
            <v>0</v>
          </cell>
          <cell r="Q7" t="str">
            <v>Pending</v>
          </cell>
          <cell r="R7">
            <v>0</v>
          </cell>
          <cell r="S7">
            <v>0</v>
          </cell>
          <cell r="T7" t="str">
            <v>Pending</v>
          </cell>
          <cell r="U7">
            <v>0</v>
          </cell>
          <cell r="V7">
            <v>0</v>
          </cell>
          <cell r="W7" t="str">
            <v>Pending</v>
          </cell>
          <cell r="X7">
            <v>0</v>
          </cell>
          <cell r="Y7">
            <v>0</v>
          </cell>
          <cell r="Z7" t="str">
            <v>Pending</v>
          </cell>
          <cell r="AA7">
            <v>0</v>
          </cell>
          <cell r="AB7">
            <v>0</v>
          </cell>
          <cell r="AC7" t="str">
            <v>Pending</v>
          </cell>
          <cell r="AD7">
            <v>0</v>
          </cell>
          <cell r="AE7">
            <v>0</v>
          </cell>
          <cell r="AF7" t="str">
            <v>Pending</v>
          </cell>
          <cell r="AG7">
            <v>0</v>
          </cell>
          <cell r="AH7">
            <v>0</v>
          </cell>
          <cell r="AI7" t="str">
            <v>Pending</v>
          </cell>
          <cell r="AJ7">
            <v>0</v>
          </cell>
          <cell r="AK7">
            <v>0</v>
          </cell>
          <cell r="AL7" t="str">
            <v>Pending</v>
          </cell>
          <cell r="AM7">
            <v>0</v>
          </cell>
          <cell r="AN7">
            <v>0</v>
          </cell>
          <cell r="AO7" t="str">
            <v>Pending</v>
          </cell>
          <cell r="AP7">
            <v>0</v>
          </cell>
          <cell r="AQ7">
            <v>0</v>
          </cell>
          <cell r="AR7" t="str">
            <v>Pending</v>
          </cell>
          <cell r="AS7">
            <v>0</v>
          </cell>
          <cell r="AT7">
            <v>0</v>
          </cell>
          <cell r="AU7" t="str">
            <v>Pending</v>
          </cell>
          <cell r="AV7">
            <v>0</v>
          </cell>
          <cell r="AW7">
            <v>0</v>
          </cell>
          <cell r="AX7" t="str">
            <v>Pending</v>
          </cell>
          <cell r="AY7">
            <v>0</v>
          </cell>
          <cell r="AZ7">
            <v>0</v>
          </cell>
          <cell r="BA7" t="str">
            <v>Pending</v>
          </cell>
          <cell r="BB7">
            <v>0</v>
          </cell>
          <cell r="BC7">
            <v>0</v>
          </cell>
          <cell r="BD7" t="str">
            <v>Pending</v>
          </cell>
          <cell r="BE7">
            <v>0</v>
          </cell>
          <cell r="BF7">
            <v>0</v>
          </cell>
          <cell r="BG7" t="str">
            <v>Pending</v>
          </cell>
          <cell r="BH7">
            <v>0</v>
          </cell>
          <cell r="BI7">
            <v>0</v>
          </cell>
          <cell r="BJ7" t="str">
            <v>Pending</v>
          </cell>
          <cell r="BK7">
            <v>0</v>
          </cell>
          <cell r="BL7">
            <v>0</v>
          </cell>
          <cell r="BM7" t="str">
            <v>Pending</v>
          </cell>
          <cell r="BN7">
            <v>0</v>
          </cell>
          <cell r="BO7">
            <v>0</v>
          </cell>
          <cell r="BP7" t="str">
            <v>Pending</v>
          </cell>
          <cell r="BQ7">
            <v>0</v>
          </cell>
          <cell r="BR7">
            <v>0</v>
          </cell>
          <cell r="BS7" t="str">
            <v>Pending</v>
          </cell>
          <cell r="BT7">
            <v>0</v>
          </cell>
          <cell r="BU7">
            <v>0</v>
          </cell>
          <cell r="BV7" t="str">
            <v>Pending</v>
          </cell>
          <cell r="BW7">
            <v>0</v>
          </cell>
          <cell r="BX7">
            <v>0</v>
          </cell>
          <cell r="BY7" t="str">
            <v>Pending</v>
          </cell>
          <cell r="BZ7">
            <v>0</v>
          </cell>
          <cell r="CA7">
            <v>0</v>
          </cell>
          <cell r="CB7" t="str">
            <v>Pending</v>
          </cell>
          <cell r="CC7">
            <v>0</v>
          </cell>
          <cell r="CD7">
            <v>0</v>
          </cell>
          <cell r="CE7" t="str">
            <v>Pending</v>
          </cell>
          <cell r="CF7">
            <v>0</v>
          </cell>
          <cell r="CG7">
            <v>0</v>
          </cell>
          <cell r="CH7" t="str">
            <v>Pending</v>
          </cell>
          <cell r="CI7">
            <v>0</v>
          </cell>
        </row>
        <row r="8">
          <cell r="L8">
            <v>0</v>
          </cell>
          <cell r="M8">
            <v>0</v>
          </cell>
          <cell r="N8" t="str">
            <v>Pending</v>
          </cell>
          <cell r="O8">
            <v>0</v>
          </cell>
          <cell r="P8">
            <v>0</v>
          </cell>
          <cell r="Q8" t="str">
            <v>Pending</v>
          </cell>
          <cell r="R8">
            <v>0</v>
          </cell>
          <cell r="S8">
            <v>0</v>
          </cell>
          <cell r="T8" t="str">
            <v>Pending</v>
          </cell>
          <cell r="U8">
            <v>0</v>
          </cell>
          <cell r="V8">
            <v>0</v>
          </cell>
          <cell r="W8" t="str">
            <v>Pending</v>
          </cell>
          <cell r="X8">
            <v>0</v>
          </cell>
          <cell r="Y8">
            <v>0</v>
          </cell>
          <cell r="Z8" t="str">
            <v>Pending</v>
          </cell>
          <cell r="AA8">
            <v>0</v>
          </cell>
          <cell r="AB8">
            <v>0</v>
          </cell>
          <cell r="AC8" t="str">
            <v>Pending</v>
          </cell>
          <cell r="AD8">
            <v>0</v>
          </cell>
          <cell r="AE8">
            <v>0</v>
          </cell>
          <cell r="AF8" t="str">
            <v>Pending</v>
          </cell>
          <cell r="AG8">
            <v>0</v>
          </cell>
          <cell r="AH8">
            <v>0</v>
          </cell>
          <cell r="AI8" t="str">
            <v>Pending</v>
          </cell>
          <cell r="AJ8">
            <v>0</v>
          </cell>
          <cell r="AK8">
            <v>0</v>
          </cell>
          <cell r="AL8" t="str">
            <v>Pending</v>
          </cell>
          <cell r="AM8">
            <v>0</v>
          </cell>
          <cell r="AN8">
            <v>0</v>
          </cell>
          <cell r="AO8" t="str">
            <v>Pending</v>
          </cell>
          <cell r="AP8">
            <v>0</v>
          </cell>
          <cell r="AQ8">
            <v>0</v>
          </cell>
          <cell r="AR8" t="str">
            <v>Pending</v>
          </cell>
          <cell r="AS8">
            <v>0</v>
          </cell>
          <cell r="AT8">
            <v>0</v>
          </cell>
          <cell r="AU8" t="str">
            <v>Pending</v>
          </cell>
          <cell r="AV8">
            <v>0</v>
          </cell>
          <cell r="AW8">
            <v>0</v>
          </cell>
          <cell r="AX8" t="str">
            <v>Pending</v>
          </cell>
          <cell r="AY8">
            <v>0</v>
          </cell>
          <cell r="AZ8">
            <v>0</v>
          </cell>
          <cell r="BA8" t="str">
            <v>Pending</v>
          </cell>
          <cell r="BB8">
            <v>0</v>
          </cell>
          <cell r="BC8">
            <v>0</v>
          </cell>
          <cell r="BD8" t="str">
            <v>Pending</v>
          </cell>
          <cell r="BE8">
            <v>0</v>
          </cell>
          <cell r="BF8">
            <v>0</v>
          </cell>
          <cell r="BG8" t="str">
            <v>Pending</v>
          </cell>
          <cell r="BH8">
            <v>0</v>
          </cell>
          <cell r="BI8">
            <v>0</v>
          </cell>
          <cell r="BJ8" t="str">
            <v>Pending</v>
          </cell>
          <cell r="BK8">
            <v>0</v>
          </cell>
          <cell r="BL8">
            <v>0</v>
          </cell>
          <cell r="BM8" t="str">
            <v>Pending</v>
          </cell>
          <cell r="BN8">
            <v>0</v>
          </cell>
          <cell r="BO8">
            <v>0</v>
          </cell>
          <cell r="BP8" t="str">
            <v>Pending</v>
          </cell>
          <cell r="BQ8">
            <v>0</v>
          </cell>
          <cell r="BR8">
            <v>0</v>
          </cell>
          <cell r="BS8" t="str">
            <v>Pending</v>
          </cell>
          <cell r="BT8">
            <v>0</v>
          </cell>
          <cell r="BU8">
            <v>0</v>
          </cell>
          <cell r="BV8" t="str">
            <v>Pending</v>
          </cell>
          <cell r="BW8">
            <v>0</v>
          </cell>
          <cell r="BX8">
            <v>0</v>
          </cell>
          <cell r="BY8" t="str">
            <v>Pending</v>
          </cell>
          <cell r="BZ8">
            <v>0</v>
          </cell>
          <cell r="CA8">
            <v>0</v>
          </cell>
          <cell r="CB8" t="str">
            <v>Pending</v>
          </cell>
          <cell r="CC8">
            <v>0</v>
          </cell>
          <cell r="CD8">
            <v>0</v>
          </cell>
          <cell r="CE8" t="str">
            <v>Pending</v>
          </cell>
          <cell r="CF8">
            <v>0</v>
          </cell>
          <cell r="CG8">
            <v>0</v>
          </cell>
          <cell r="CH8" t="str">
            <v>Pending</v>
          </cell>
          <cell r="CI8">
            <v>0</v>
          </cell>
        </row>
        <row r="9">
          <cell r="L9">
            <v>0</v>
          </cell>
          <cell r="M9">
            <v>0</v>
          </cell>
          <cell r="N9" t="str">
            <v>Pending</v>
          </cell>
          <cell r="O9">
            <v>0</v>
          </cell>
          <cell r="P9">
            <v>0</v>
          </cell>
          <cell r="Q9" t="str">
            <v>Pending</v>
          </cell>
          <cell r="R9">
            <v>0</v>
          </cell>
          <cell r="S9">
            <v>0</v>
          </cell>
          <cell r="T9" t="str">
            <v>Pending</v>
          </cell>
          <cell r="U9">
            <v>0</v>
          </cell>
          <cell r="V9">
            <v>0</v>
          </cell>
          <cell r="W9" t="str">
            <v>Pending</v>
          </cell>
          <cell r="X9">
            <v>0</v>
          </cell>
          <cell r="Y9">
            <v>0</v>
          </cell>
          <cell r="Z9" t="str">
            <v>Pending</v>
          </cell>
          <cell r="AA9">
            <v>0</v>
          </cell>
          <cell r="AB9">
            <v>0</v>
          </cell>
          <cell r="AC9" t="str">
            <v>Pending</v>
          </cell>
          <cell r="AD9">
            <v>0</v>
          </cell>
          <cell r="AE9">
            <v>0</v>
          </cell>
          <cell r="AF9" t="str">
            <v>Pending</v>
          </cell>
          <cell r="AG9">
            <v>0</v>
          </cell>
          <cell r="AH9">
            <v>0</v>
          </cell>
          <cell r="AI9" t="str">
            <v>Pending</v>
          </cell>
          <cell r="AJ9">
            <v>0</v>
          </cell>
          <cell r="AK9">
            <v>0</v>
          </cell>
          <cell r="AL9" t="str">
            <v>Pending</v>
          </cell>
          <cell r="AM9">
            <v>0</v>
          </cell>
          <cell r="AN9">
            <v>0</v>
          </cell>
          <cell r="AO9" t="str">
            <v>Pending</v>
          </cell>
          <cell r="AP9">
            <v>0</v>
          </cell>
          <cell r="AQ9">
            <v>0</v>
          </cell>
          <cell r="AR9" t="str">
            <v>Pending</v>
          </cell>
          <cell r="AS9">
            <v>0</v>
          </cell>
          <cell r="AT9">
            <v>0</v>
          </cell>
          <cell r="AU9" t="str">
            <v>Pending</v>
          </cell>
          <cell r="AV9">
            <v>0</v>
          </cell>
          <cell r="AW9">
            <v>0</v>
          </cell>
          <cell r="AX9" t="str">
            <v>Pending</v>
          </cell>
          <cell r="AY9">
            <v>0</v>
          </cell>
          <cell r="AZ9">
            <v>0</v>
          </cell>
          <cell r="BA9" t="str">
            <v>Pending</v>
          </cell>
          <cell r="BB9">
            <v>0</v>
          </cell>
          <cell r="BC9">
            <v>0</v>
          </cell>
          <cell r="BD9" t="str">
            <v>Pending</v>
          </cell>
          <cell r="BE9">
            <v>0</v>
          </cell>
          <cell r="BF9">
            <v>0</v>
          </cell>
          <cell r="BG9" t="str">
            <v>Pending</v>
          </cell>
          <cell r="BH9">
            <v>0</v>
          </cell>
          <cell r="BI9">
            <v>0</v>
          </cell>
          <cell r="BJ9" t="str">
            <v>Pending</v>
          </cell>
          <cell r="BK9">
            <v>0</v>
          </cell>
          <cell r="BL9">
            <v>0</v>
          </cell>
          <cell r="BM9" t="str">
            <v>Pending</v>
          </cell>
          <cell r="BN9">
            <v>0</v>
          </cell>
          <cell r="BO9">
            <v>0</v>
          </cell>
          <cell r="BP9" t="str">
            <v>Pending</v>
          </cell>
          <cell r="BQ9">
            <v>0</v>
          </cell>
          <cell r="BR9">
            <v>0</v>
          </cell>
          <cell r="BS9" t="str">
            <v>Pending</v>
          </cell>
          <cell r="BT9">
            <v>0</v>
          </cell>
          <cell r="BU9">
            <v>0</v>
          </cell>
          <cell r="BV9" t="str">
            <v>Pending</v>
          </cell>
          <cell r="BW9">
            <v>0</v>
          </cell>
          <cell r="BX9">
            <v>0</v>
          </cell>
          <cell r="BY9" t="str">
            <v>Pending</v>
          </cell>
          <cell r="BZ9">
            <v>0</v>
          </cell>
          <cell r="CA9">
            <v>0</v>
          </cell>
          <cell r="CB9" t="str">
            <v>Pending</v>
          </cell>
          <cell r="CC9">
            <v>0</v>
          </cell>
          <cell r="CD9">
            <v>0</v>
          </cell>
          <cell r="CE9" t="str">
            <v>Pending</v>
          </cell>
          <cell r="CF9">
            <v>0</v>
          </cell>
          <cell r="CG9">
            <v>0</v>
          </cell>
          <cell r="CH9" t="str">
            <v>Pending</v>
          </cell>
          <cell r="CI9">
            <v>0</v>
          </cell>
        </row>
        <row r="10">
          <cell r="L10">
            <v>0</v>
          </cell>
          <cell r="M10">
            <v>0</v>
          </cell>
          <cell r="N10" t="str">
            <v>Pending</v>
          </cell>
          <cell r="O10">
            <v>0</v>
          </cell>
          <cell r="P10">
            <v>0</v>
          </cell>
          <cell r="Q10" t="str">
            <v>Pending</v>
          </cell>
          <cell r="R10">
            <v>0</v>
          </cell>
          <cell r="S10">
            <v>0</v>
          </cell>
          <cell r="T10" t="str">
            <v>Pending</v>
          </cell>
          <cell r="U10">
            <v>0</v>
          </cell>
          <cell r="V10">
            <v>0</v>
          </cell>
          <cell r="W10" t="str">
            <v>Pending</v>
          </cell>
          <cell r="X10">
            <v>0</v>
          </cell>
          <cell r="Y10">
            <v>0</v>
          </cell>
          <cell r="Z10" t="str">
            <v>Pending</v>
          </cell>
          <cell r="AA10">
            <v>0</v>
          </cell>
          <cell r="AB10">
            <v>0</v>
          </cell>
          <cell r="AC10" t="str">
            <v>Pending</v>
          </cell>
          <cell r="AD10">
            <v>0</v>
          </cell>
          <cell r="AE10">
            <v>0</v>
          </cell>
          <cell r="AF10" t="str">
            <v>Pending</v>
          </cell>
          <cell r="AG10">
            <v>0</v>
          </cell>
          <cell r="AH10">
            <v>0</v>
          </cell>
          <cell r="AI10" t="str">
            <v>Pending</v>
          </cell>
          <cell r="AJ10">
            <v>0</v>
          </cell>
          <cell r="AK10">
            <v>0</v>
          </cell>
          <cell r="AL10" t="str">
            <v>Pending</v>
          </cell>
          <cell r="AM10">
            <v>0</v>
          </cell>
          <cell r="AN10">
            <v>0</v>
          </cell>
          <cell r="AO10" t="str">
            <v>Pending</v>
          </cell>
          <cell r="AP10">
            <v>0</v>
          </cell>
          <cell r="AQ10">
            <v>0</v>
          </cell>
          <cell r="AR10" t="str">
            <v>Pending</v>
          </cell>
          <cell r="AS10">
            <v>0</v>
          </cell>
          <cell r="AT10">
            <v>0</v>
          </cell>
          <cell r="AU10" t="str">
            <v>Pending</v>
          </cell>
          <cell r="AV10">
            <v>0</v>
          </cell>
          <cell r="AW10">
            <v>0</v>
          </cell>
          <cell r="AX10" t="str">
            <v>Pending</v>
          </cell>
          <cell r="AY10">
            <v>0</v>
          </cell>
          <cell r="AZ10">
            <v>0</v>
          </cell>
          <cell r="BA10" t="str">
            <v>Pending</v>
          </cell>
          <cell r="BB10">
            <v>0</v>
          </cell>
          <cell r="BC10">
            <v>0</v>
          </cell>
          <cell r="BD10" t="str">
            <v>Pending</v>
          </cell>
          <cell r="BE10">
            <v>0</v>
          </cell>
          <cell r="BF10">
            <v>0</v>
          </cell>
          <cell r="BG10" t="str">
            <v>Pending</v>
          </cell>
          <cell r="BH10">
            <v>0</v>
          </cell>
          <cell r="BI10">
            <v>0</v>
          </cell>
          <cell r="BJ10" t="str">
            <v>Pending</v>
          </cell>
          <cell r="BK10">
            <v>0</v>
          </cell>
          <cell r="BL10">
            <v>0</v>
          </cell>
          <cell r="BM10" t="str">
            <v>Pending</v>
          </cell>
          <cell r="BN10">
            <v>0</v>
          </cell>
          <cell r="BO10">
            <v>0</v>
          </cell>
          <cell r="BP10" t="str">
            <v>Pending</v>
          </cell>
          <cell r="BQ10">
            <v>0</v>
          </cell>
          <cell r="BR10">
            <v>0</v>
          </cell>
          <cell r="BS10" t="str">
            <v>Pending</v>
          </cell>
          <cell r="BT10">
            <v>0</v>
          </cell>
          <cell r="BU10">
            <v>0</v>
          </cell>
          <cell r="BV10" t="str">
            <v>Pending</v>
          </cell>
          <cell r="BW10">
            <v>0</v>
          </cell>
          <cell r="BX10">
            <v>0</v>
          </cell>
          <cell r="BY10" t="str">
            <v>Pending</v>
          </cell>
          <cell r="BZ10">
            <v>0</v>
          </cell>
          <cell r="CA10">
            <v>0</v>
          </cell>
          <cell r="CB10" t="str">
            <v>Pending</v>
          </cell>
          <cell r="CC10">
            <v>0</v>
          </cell>
          <cell r="CD10">
            <v>0</v>
          </cell>
          <cell r="CE10" t="str">
            <v>Pending</v>
          </cell>
          <cell r="CF10">
            <v>0</v>
          </cell>
          <cell r="CG10">
            <v>0</v>
          </cell>
          <cell r="CH10" t="str">
            <v>Pending</v>
          </cell>
          <cell r="CI10">
            <v>0</v>
          </cell>
        </row>
        <row r="11">
          <cell r="L11">
            <v>0</v>
          </cell>
          <cell r="M11">
            <v>0</v>
          </cell>
          <cell r="N11" t="str">
            <v>Pending</v>
          </cell>
          <cell r="O11">
            <v>0</v>
          </cell>
          <cell r="P11">
            <v>0</v>
          </cell>
          <cell r="Q11" t="str">
            <v>Pending</v>
          </cell>
          <cell r="R11">
            <v>0</v>
          </cell>
          <cell r="S11">
            <v>0</v>
          </cell>
          <cell r="T11" t="str">
            <v>Pending</v>
          </cell>
          <cell r="U11">
            <v>0</v>
          </cell>
          <cell r="V11">
            <v>0</v>
          </cell>
          <cell r="W11" t="str">
            <v>Pending</v>
          </cell>
          <cell r="X11">
            <v>0</v>
          </cell>
          <cell r="Y11">
            <v>0</v>
          </cell>
          <cell r="Z11" t="str">
            <v>Pending</v>
          </cell>
          <cell r="AA11">
            <v>0</v>
          </cell>
          <cell r="AB11">
            <v>0</v>
          </cell>
          <cell r="AC11" t="str">
            <v>Pending</v>
          </cell>
          <cell r="AD11">
            <v>0</v>
          </cell>
          <cell r="AE11">
            <v>0</v>
          </cell>
          <cell r="AF11" t="str">
            <v>Pending</v>
          </cell>
          <cell r="AG11">
            <v>0</v>
          </cell>
          <cell r="AH11">
            <v>0</v>
          </cell>
          <cell r="AI11" t="str">
            <v>Pending</v>
          </cell>
          <cell r="AJ11">
            <v>0</v>
          </cell>
          <cell r="AK11">
            <v>0</v>
          </cell>
          <cell r="AL11" t="str">
            <v>Pending</v>
          </cell>
          <cell r="AM11">
            <v>0</v>
          </cell>
          <cell r="AN11">
            <v>0</v>
          </cell>
          <cell r="AO11" t="str">
            <v>Pending</v>
          </cell>
          <cell r="AP11">
            <v>0</v>
          </cell>
          <cell r="AQ11">
            <v>0</v>
          </cell>
          <cell r="AR11" t="str">
            <v>Pending</v>
          </cell>
          <cell r="AS11">
            <v>0</v>
          </cell>
          <cell r="AT11">
            <v>0</v>
          </cell>
          <cell r="AU11" t="str">
            <v>Pending</v>
          </cell>
          <cell r="AV11">
            <v>0</v>
          </cell>
          <cell r="AW11">
            <v>0</v>
          </cell>
          <cell r="AX11" t="str">
            <v>Pending</v>
          </cell>
          <cell r="AY11">
            <v>0</v>
          </cell>
          <cell r="AZ11">
            <v>0</v>
          </cell>
          <cell r="BA11" t="str">
            <v>Pending</v>
          </cell>
          <cell r="BB11">
            <v>0</v>
          </cell>
          <cell r="BC11">
            <v>0</v>
          </cell>
          <cell r="BD11" t="str">
            <v>Pending</v>
          </cell>
          <cell r="BE11">
            <v>0</v>
          </cell>
          <cell r="BF11">
            <v>0</v>
          </cell>
          <cell r="BG11" t="str">
            <v>Pending</v>
          </cell>
          <cell r="BH11">
            <v>0</v>
          </cell>
          <cell r="BI11">
            <v>0</v>
          </cell>
          <cell r="BJ11" t="str">
            <v>Pending</v>
          </cell>
          <cell r="BK11">
            <v>0</v>
          </cell>
          <cell r="BL11">
            <v>0</v>
          </cell>
          <cell r="BM11" t="str">
            <v>Pending</v>
          </cell>
          <cell r="BN11">
            <v>0</v>
          </cell>
          <cell r="BO11">
            <v>0</v>
          </cell>
          <cell r="BP11" t="str">
            <v>Pending</v>
          </cell>
          <cell r="BQ11">
            <v>0</v>
          </cell>
          <cell r="BR11">
            <v>0</v>
          </cell>
          <cell r="BS11" t="str">
            <v>Pending</v>
          </cell>
          <cell r="BT11">
            <v>0</v>
          </cell>
          <cell r="BU11">
            <v>0</v>
          </cell>
          <cell r="BV11" t="str">
            <v>Pending</v>
          </cell>
          <cell r="BW11">
            <v>0</v>
          </cell>
          <cell r="BX11">
            <v>0</v>
          </cell>
          <cell r="BY11" t="str">
            <v>Pending</v>
          </cell>
          <cell r="BZ11">
            <v>0</v>
          </cell>
          <cell r="CA11">
            <v>0</v>
          </cell>
          <cell r="CB11" t="str">
            <v>Pending</v>
          </cell>
          <cell r="CC11">
            <v>0</v>
          </cell>
          <cell r="CD11">
            <v>0</v>
          </cell>
          <cell r="CE11" t="str">
            <v>Pending</v>
          </cell>
          <cell r="CF11">
            <v>0</v>
          </cell>
          <cell r="CG11">
            <v>0</v>
          </cell>
          <cell r="CH11" t="str">
            <v>Pending</v>
          </cell>
          <cell r="CI11">
            <v>0</v>
          </cell>
        </row>
        <row r="12">
          <cell r="L12">
            <v>0</v>
          </cell>
          <cell r="M12">
            <v>0</v>
          </cell>
          <cell r="N12" t="str">
            <v>Pending</v>
          </cell>
          <cell r="O12">
            <v>0</v>
          </cell>
          <cell r="P12">
            <v>0</v>
          </cell>
          <cell r="Q12" t="str">
            <v>Pending</v>
          </cell>
          <cell r="R12">
            <v>0</v>
          </cell>
          <cell r="S12">
            <v>0</v>
          </cell>
          <cell r="T12" t="str">
            <v>Pending</v>
          </cell>
          <cell r="U12">
            <v>0</v>
          </cell>
          <cell r="V12">
            <v>0</v>
          </cell>
          <cell r="W12" t="str">
            <v>Pending</v>
          </cell>
          <cell r="X12">
            <v>0</v>
          </cell>
          <cell r="Y12">
            <v>0</v>
          </cell>
          <cell r="Z12" t="str">
            <v>Pending</v>
          </cell>
          <cell r="AA12">
            <v>0</v>
          </cell>
          <cell r="AB12">
            <v>0</v>
          </cell>
          <cell r="AC12" t="str">
            <v>Pending</v>
          </cell>
          <cell r="AD12">
            <v>0</v>
          </cell>
          <cell r="AE12">
            <v>0</v>
          </cell>
          <cell r="AF12" t="str">
            <v>Pending</v>
          </cell>
          <cell r="AG12">
            <v>0</v>
          </cell>
          <cell r="AH12">
            <v>0</v>
          </cell>
          <cell r="AI12" t="str">
            <v>Pending</v>
          </cell>
          <cell r="AJ12">
            <v>0</v>
          </cell>
          <cell r="AK12">
            <v>0</v>
          </cell>
          <cell r="AL12" t="str">
            <v>Pending</v>
          </cell>
          <cell r="AM12">
            <v>0</v>
          </cell>
          <cell r="AN12">
            <v>0</v>
          </cell>
          <cell r="AO12" t="str">
            <v>Pending</v>
          </cell>
          <cell r="AP12">
            <v>0</v>
          </cell>
          <cell r="AQ12">
            <v>0</v>
          </cell>
          <cell r="AR12" t="str">
            <v>Pending</v>
          </cell>
          <cell r="AS12">
            <v>0</v>
          </cell>
          <cell r="AT12">
            <v>0</v>
          </cell>
          <cell r="AU12" t="str">
            <v>Pending</v>
          </cell>
          <cell r="AV12">
            <v>0</v>
          </cell>
          <cell r="AW12">
            <v>0</v>
          </cell>
          <cell r="AX12" t="str">
            <v>Pending</v>
          </cell>
          <cell r="AY12">
            <v>0</v>
          </cell>
          <cell r="AZ12">
            <v>0</v>
          </cell>
          <cell r="BA12" t="str">
            <v>Pending</v>
          </cell>
          <cell r="BB12">
            <v>0</v>
          </cell>
          <cell r="BC12">
            <v>0</v>
          </cell>
          <cell r="BD12" t="str">
            <v>Pending</v>
          </cell>
          <cell r="BE12">
            <v>0</v>
          </cell>
          <cell r="BF12">
            <v>0</v>
          </cell>
          <cell r="BG12" t="str">
            <v>Pending</v>
          </cell>
          <cell r="BH12">
            <v>0</v>
          </cell>
          <cell r="BI12">
            <v>0</v>
          </cell>
          <cell r="BJ12" t="str">
            <v>Pending</v>
          </cell>
          <cell r="BK12">
            <v>0</v>
          </cell>
          <cell r="BL12">
            <v>0</v>
          </cell>
          <cell r="BM12" t="str">
            <v>Pending</v>
          </cell>
          <cell r="BN12">
            <v>0</v>
          </cell>
          <cell r="BO12">
            <v>0</v>
          </cell>
          <cell r="BP12" t="str">
            <v>Pending</v>
          </cell>
          <cell r="BQ12">
            <v>0</v>
          </cell>
          <cell r="BR12">
            <v>0</v>
          </cell>
          <cell r="BS12" t="str">
            <v>Pending</v>
          </cell>
          <cell r="BT12">
            <v>0</v>
          </cell>
          <cell r="BU12">
            <v>0</v>
          </cell>
          <cell r="BV12" t="str">
            <v>Pending</v>
          </cell>
          <cell r="BW12">
            <v>0</v>
          </cell>
          <cell r="BX12">
            <v>0</v>
          </cell>
          <cell r="BY12" t="str">
            <v>Pending</v>
          </cell>
          <cell r="BZ12">
            <v>0</v>
          </cell>
          <cell r="CA12">
            <v>0</v>
          </cell>
          <cell r="CB12" t="str">
            <v>Pending</v>
          </cell>
          <cell r="CC12">
            <v>0</v>
          </cell>
          <cell r="CD12">
            <v>0</v>
          </cell>
          <cell r="CE12" t="str">
            <v>Pending</v>
          </cell>
          <cell r="CF12">
            <v>0</v>
          </cell>
          <cell r="CG12">
            <v>0</v>
          </cell>
          <cell r="CH12" t="str">
            <v>Pending</v>
          </cell>
          <cell r="CI12">
            <v>0</v>
          </cell>
        </row>
        <row r="13">
          <cell r="L13">
            <v>0</v>
          </cell>
          <cell r="M13">
            <v>0</v>
          </cell>
          <cell r="N13" t="str">
            <v>Pending</v>
          </cell>
          <cell r="O13">
            <v>0</v>
          </cell>
          <cell r="P13">
            <v>0</v>
          </cell>
          <cell r="Q13" t="str">
            <v>Pending</v>
          </cell>
          <cell r="R13">
            <v>0</v>
          </cell>
          <cell r="S13">
            <v>0</v>
          </cell>
          <cell r="T13" t="str">
            <v>Pending</v>
          </cell>
          <cell r="U13">
            <v>0</v>
          </cell>
          <cell r="V13">
            <v>0</v>
          </cell>
          <cell r="W13" t="str">
            <v>Pending</v>
          </cell>
          <cell r="X13">
            <v>0</v>
          </cell>
          <cell r="Y13">
            <v>0</v>
          </cell>
          <cell r="Z13" t="str">
            <v>Pending</v>
          </cell>
          <cell r="AA13">
            <v>0</v>
          </cell>
          <cell r="AB13">
            <v>0</v>
          </cell>
          <cell r="AC13" t="str">
            <v>Pending</v>
          </cell>
          <cell r="AD13">
            <v>0</v>
          </cell>
          <cell r="AE13">
            <v>0</v>
          </cell>
          <cell r="AF13" t="str">
            <v>Pending</v>
          </cell>
          <cell r="AG13">
            <v>0</v>
          </cell>
          <cell r="AH13">
            <v>0</v>
          </cell>
          <cell r="AI13" t="str">
            <v>Pending</v>
          </cell>
          <cell r="AJ13">
            <v>0</v>
          </cell>
          <cell r="AK13">
            <v>0</v>
          </cell>
          <cell r="AL13" t="str">
            <v>Pending</v>
          </cell>
          <cell r="AN13">
            <v>0</v>
          </cell>
          <cell r="AO13" t="str">
            <v>Pending</v>
          </cell>
          <cell r="AQ13">
            <v>0</v>
          </cell>
          <cell r="AR13" t="str">
            <v>Pending</v>
          </cell>
          <cell r="AT13">
            <v>0</v>
          </cell>
          <cell r="AU13" t="str">
            <v>Pending</v>
          </cell>
          <cell r="AV13">
            <v>0</v>
          </cell>
          <cell r="AW13">
            <v>0</v>
          </cell>
          <cell r="AX13" t="str">
            <v>Pending</v>
          </cell>
          <cell r="AY13">
            <v>0</v>
          </cell>
          <cell r="AZ13">
            <v>0</v>
          </cell>
          <cell r="BA13" t="str">
            <v>Pending</v>
          </cell>
          <cell r="BB13">
            <v>0</v>
          </cell>
          <cell r="BC13">
            <v>0</v>
          </cell>
          <cell r="BD13" t="str">
            <v>Pending</v>
          </cell>
          <cell r="BE13">
            <v>0</v>
          </cell>
          <cell r="BF13">
            <v>0</v>
          </cell>
          <cell r="BG13" t="str">
            <v>Pending</v>
          </cell>
          <cell r="BH13">
            <v>0</v>
          </cell>
          <cell r="BI13">
            <v>0</v>
          </cell>
          <cell r="BJ13" t="str">
            <v>Pending</v>
          </cell>
          <cell r="BK13">
            <v>0</v>
          </cell>
          <cell r="BL13">
            <v>0</v>
          </cell>
          <cell r="BM13" t="str">
            <v>Pending</v>
          </cell>
          <cell r="BN13">
            <v>0</v>
          </cell>
          <cell r="BO13">
            <v>0</v>
          </cell>
          <cell r="BP13" t="str">
            <v>Pending</v>
          </cell>
          <cell r="BQ13">
            <v>0</v>
          </cell>
          <cell r="BR13">
            <v>0</v>
          </cell>
          <cell r="BS13" t="str">
            <v>Pending</v>
          </cell>
          <cell r="BT13">
            <v>0</v>
          </cell>
          <cell r="BU13">
            <v>0</v>
          </cell>
          <cell r="BV13" t="str">
            <v>Pending</v>
          </cell>
          <cell r="BW13">
            <v>0</v>
          </cell>
          <cell r="BX13">
            <v>0</v>
          </cell>
          <cell r="BY13" t="str">
            <v>Pending</v>
          </cell>
          <cell r="BZ13">
            <v>0</v>
          </cell>
          <cell r="CA13">
            <v>0</v>
          </cell>
          <cell r="CB13" t="str">
            <v>Pending</v>
          </cell>
          <cell r="CC13">
            <v>0</v>
          </cell>
          <cell r="CD13">
            <v>0</v>
          </cell>
          <cell r="CE13" t="str">
            <v>Pending</v>
          </cell>
          <cell r="CF13">
            <v>0</v>
          </cell>
          <cell r="CG13">
            <v>0</v>
          </cell>
          <cell r="CH13" t="str">
            <v>Pending</v>
          </cell>
          <cell r="CI13">
            <v>0</v>
          </cell>
        </row>
        <row r="14">
          <cell r="L14">
            <v>0</v>
          </cell>
          <cell r="M14">
            <v>0</v>
          </cell>
          <cell r="N14" t="str">
            <v>Pending</v>
          </cell>
          <cell r="O14">
            <v>0</v>
          </cell>
          <cell r="P14">
            <v>0</v>
          </cell>
          <cell r="Q14" t="str">
            <v>Pending</v>
          </cell>
          <cell r="R14">
            <v>0</v>
          </cell>
          <cell r="S14">
            <v>0</v>
          </cell>
          <cell r="T14" t="str">
            <v>Pending</v>
          </cell>
          <cell r="U14">
            <v>0</v>
          </cell>
          <cell r="V14">
            <v>0</v>
          </cell>
          <cell r="W14" t="str">
            <v>Pending</v>
          </cell>
          <cell r="X14">
            <v>0</v>
          </cell>
          <cell r="Y14">
            <v>0</v>
          </cell>
          <cell r="Z14" t="str">
            <v>Pending</v>
          </cell>
          <cell r="AA14">
            <v>0</v>
          </cell>
          <cell r="AB14">
            <v>0</v>
          </cell>
          <cell r="AC14" t="str">
            <v>Pending</v>
          </cell>
          <cell r="AD14">
            <v>0</v>
          </cell>
          <cell r="AE14">
            <v>0</v>
          </cell>
          <cell r="AF14" t="str">
            <v>Pending</v>
          </cell>
          <cell r="AG14">
            <v>0</v>
          </cell>
          <cell r="AH14">
            <v>0</v>
          </cell>
          <cell r="AI14" t="str">
            <v>Pending</v>
          </cell>
          <cell r="AJ14">
            <v>0</v>
          </cell>
          <cell r="AK14">
            <v>0</v>
          </cell>
          <cell r="AL14" t="str">
            <v>Pending</v>
          </cell>
          <cell r="AM14">
            <v>0</v>
          </cell>
          <cell r="AN14">
            <v>0</v>
          </cell>
          <cell r="AO14" t="str">
            <v>Pending</v>
          </cell>
          <cell r="AP14">
            <v>0</v>
          </cell>
          <cell r="AQ14">
            <v>0</v>
          </cell>
          <cell r="AR14" t="str">
            <v>Pending</v>
          </cell>
          <cell r="AS14">
            <v>0</v>
          </cell>
          <cell r="AT14">
            <v>0</v>
          </cell>
          <cell r="AU14" t="str">
            <v>Pending</v>
          </cell>
          <cell r="AV14">
            <v>0</v>
          </cell>
          <cell r="AW14">
            <v>0</v>
          </cell>
          <cell r="AX14" t="str">
            <v>Pending</v>
          </cell>
          <cell r="AY14">
            <v>0</v>
          </cell>
          <cell r="AZ14">
            <v>0</v>
          </cell>
          <cell r="BA14" t="str">
            <v>Pending</v>
          </cell>
          <cell r="BB14">
            <v>0</v>
          </cell>
          <cell r="BC14">
            <v>0</v>
          </cell>
          <cell r="BD14" t="str">
            <v>Pending</v>
          </cell>
          <cell r="BE14">
            <v>0</v>
          </cell>
          <cell r="BF14">
            <v>0</v>
          </cell>
          <cell r="BG14" t="str">
            <v>Pending</v>
          </cell>
          <cell r="BH14">
            <v>0</v>
          </cell>
          <cell r="BI14">
            <v>0</v>
          </cell>
          <cell r="BJ14" t="str">
            <v>Pending</v>
          </cell>
          <cell r="BK14">
            <v>0</v>
          </cell>
          <cell r="BL14">
            <v>0</v>
          </cell>
          <cell r="BM14" t="str">
            <v>Pending</v>
          </cell>
          <cell r="BN14">
            <v>0</v>
          </cell>
          <cell r="BO14">
            <v>0</v>
          </cell>
          <cell r="BP14" t="str">
            <v>Pending</v>
          </cell>
          <cell r="BQ14">
            <v>0</v>
          </cell>
          <cell r="BR14">
            <v>0</v>
          </cell>
          <cell r="BS14" t="str">
            <v>Pending</v>
          </cell>
          <cell r="BT14">
            <v>0</v>
          </cell>
          <cell r="BU14">
            <v>0</v>
          </cell>
          <cell r="BV14" t="str">
            <v>Pending</v>
          </cell>
          <cell r="BW14">
            <v>0</v>
          </cell>
          <cell r="BX14">
            <v>0</v>
          </cell>
          <cell r="BY14" t="str">
            <v>Pending</v>
          </cell>
          <cell r="BZ14">
            <v>0</v>
          </cell>
          <cell r="CA14">
            <v>0</v>
          </cell>
          <cell r="CB14" t="str">
            <v>Pending</v>
          </cell>
          <cell r="CC14">
            <v>0</v>
          </cell>
          <cell r="CD14">
            <v>0</v>
          </cell>
          <cell r="CE14" t="str">
            <v>Pending</v>
          </cell>
          <cell r="CF14">
            <v>0</v>
          </cell>
          <cell r="CG14">
            <v>0</v>
          </cell>
          <cell r="CH14" t="str">
            <v>Pending</v>
          </cell>
          <cell r="CI14">
            <v>0</v>
          </cell>
        </row>
        <row r="15">
          <cell r="L15">
            <v>0</v>
          </cell>
          <cell r="M15">
            <v>15</v>
          </cell>
          <cell r="N15" t="str">
            <v>Pending</v>
          </cell>
          <cell r="O15">
            <v>0</v>
          </cell>
          <cell r="P15">
            <v>15</v>
          </cell>
          <cell r="Q15" t="str">
            <v>Pending</v>
          </cell>
          <cell r="R15">
            <v>0</v>
          </cell>
          <cell r="S15">
            <v>15</v>
          </cell>
          <cell r="T15" t="str">
            <v>Pending</v>
          </cell>
          <cell r="U15">
            <v>0</v>
          </cell>
          <cell r="V15">
            <v>15</v>
          </cell>
          <cell r="W15" t="str">
            <v>Pending</v>
          </cell>
          <cell r="X15">
            <v>0</v>
          </cell>
          <cell r="Y15">
            <v>15</v>
          </cell>
          <cell r="Z15" t="str">
            <v>Pending</v>
          </cell>
          <cell r="AA15">
            <v>0</v>
          </cell>
          <cell r="AB15">
            <v>15</v>
          </cell>
          <cell r="AC15" t="str">
            <v>Pending</v>
          </cell>
          <cell r="AD15">
            <v>0</v>
          </cell>
          <cell r="AE15">
            <v>15</v>
          </cell>
          <cell r="AF15" t="str">
            <v>Pending</v>
          </cell>
          <cell r="AG15">
            <v>0</v>
          </cell>
          <cell r="AH15">
            <v>15</v>
          </cell>
          <cell r="AI15" t="str">
            <v>Pending</v>
          </cell>
          <cell r="AJ15">
            <v>0</v>
          </cell>
          <cell r="AK15">
            <v>15</v>
          </cell>
          <cell r="AL15" t="str">
            <v>Pending</v>
          </cell>
          <cell r="AM15">
            <v>0</v>
          </cell>
          <cell r="AN15">
            <v>15</v>
          </cell>
          <cell r="AO15" t="str">
            <v>Pending</v>
          </cell>
          <cell r="AP15">
            <v>0</v>
          </cell>
          <cell r="AQ15">
            <v>15</v>
          </cell>
          <cell r="AR15" t="str">
            <v>Pending</v>
          </cell>
          <cell r="AS15">
            <v>0</v>
          </cell>
          <cell r="AT15">
            <v>15</v>
          </cell>
          <cell r="AU15" t="str">
            <v>Pending</v>
          </cell>
          <cell r="AV15">
            <v>0</v>
          </cell>
          <cell r="AW15">
            <v>15</v>
          </cell>
          <cell r="AX15" t="str">
            <v>Pending</v>
          </cell>
          <cell r="AY15">
            <v>0</v>
          </cell>
          <cell r="AZ15">
            <v>15</v>
          </cell>
          <cell r="BA15" t="str">
            <v>Pending</v>
          </cell>
          <cell r="BB15">
            <v>0</v>
          </cell>
          <cell r="BC15">
            <v>15</v>
          </cell>
          <cell r="BD15" t="str">
            <v>Pending</v>
          </cell>
          <cell r="BE15">
            <v>0</v>
          </cell>
          <cell r="BF15">
            <v>15</v>
          </cell>
          <cell r="BG15" t="str">
            <v>Pending</v>
          </cell>
          <cell r="BH15">
            <v>0</v>
          </cell>
          <cell r="BI15">
            <v>15</v>
          </cell>
          <cell r="BJ15" t="str">
            <v>Pending</v>
          </cell>
          <cell r="BK15">
            <v>0</v>
          </cell>
          <cell r="BL15">
            <v>15</v>
          </cell>
          <cell r="BM15" t="str">
            <v>Pending</v>
          </cell>
          <cell r="BN15">
            <v>0</v>
          </cell>
          <cell r="BO15">
            <v>15</v>
          </cell>
          <cell r="BP15" t="str">
            <v>Pending</v>
          </cell>
          <cell r="BQ15">
            <v>0</v>
          </cell>
          <cell r="BR15">
            <v>15</v>
          </cell>
          <cell r="BS15" t="str">
            <v>Pending</v>
          </cell>
          <cell r="BT15">
            <v>0</v>
          </cell>
          <cell r="BU15">
            <v>15</v>
          </cell>
          <cell r="BV15" t="str">
            <v>Pending</v>
          </cell>
          <cell r="BW15">
            <v>0</v>
          </cell>
          <cell r="BX15">
            <v>15</v>
          </cell>
          <cell r="BY15" t="str">
            <v>Pending</v>
          </cell>
          <cell r="BZ15">
            <v>0</v>
          </cell>
          <cell r="CA15">
            <v>15</v>
          </cell>
          <cell r="CB15" t="str">
            <v>Pending</v>
          </cell>
          <cell r="CC15">
            <v>0</v>
          </cell>
          <cell r="CD15">
            <v>15</v>
          </cell>
          <cell r="CE15" t="str">
            <v>Pending</v>
          </cell>
          <cell r="CF15">
            <v>0</v>
          </cell>
          <cell r="CG15">
            <v>15</v>
          </cell>
          <cell r="CH15" t="str">
            <v>Pending</v>
          </cell>
          <cell r="CI15">
            <v>0</v>
          </cell>
        </row>
        <row r="16">
          <cell r="L16">
            <v>0</v>
          </cell>
          <cell r="M16">
            <v>90</v>
          </cell>
          <cell r="N16" t="str">
            <v>Pending</v>
          </cell>
          <cell r="O16">
            <v>0</v>
          </cell>
          <cell r="P16">
            <v>90</v>
          </cell>
          <cell r="Q16" t="str">
            <v>Pending</v>
          </cell>
          <cell r="R16">
            <v>0</v>
          </cell>
          <cell r="S16">
            <v>90</v>
          </cell>
          <cell r="T16" t="str">
            <v>Pending</v>
          </cell>
          <cell r="U16">
            <v>0</v>
          </cell>
          <cell r="V16">
            <v>90</v>
          </cell>
          <cell r="W16" t="str">
            <v>Pending</v>
          </cell>
          <cell r="X16">
            <v>0</v>
          </cell>
          <cell r="Y16">
            <v>90</v>
          </cell>
          <cell r="Z16" t="str">
            <v>Pending</v>
          </cell>
          <cell r="AA16">
            <v>0</v>
          </cell>
          <cell r="AB16">
            <v>90</v>
          </cell>
          <cell r="AC16" t="str">
            <v>Pending</v>
          </cell>
          <cell r="AD16">
            <v>0</v>
          </cell>
          <cell r="AE16">
            <v>90</v>
          </cell>
          <cell r="AF16" t="str">
            <v>Pending</v>
          </cell>
          <cell r="AG16">
            <v>0</v>
          </cell>
          <cell r="AH16">
            <v>90</v>
          </cell>
          <cell r="AI16" t="str">
            <v>Pending</v>
          </cell>
          <cell r="AJ16">
            <v>0</v>
          </cell>
          <cell r="AK16">
            <v>90</v>
          </cell>
          <cell r="AL16" t="str">
            <v>Pending</v>
          </cell>
          <cell r="AM16">
            <v>0</v>
          </cell>
          <cell r="AN16">
            <v>90</v>
          </cell>
          <cell r="AO16" t="str">
            <v>Pending</v>
          </cell>
          <cell r="AP16">
            <v>0</v>
          </cell>
          <cell r="AQ16">
            <v>90</v>
          </cell>
          <cell r="AR16" t="str">
            <v>Pending</v>
          </cell>
          <cell r="AS16">
            <v>0</v>
          </cell>
          <cell r="AT16">
            <v>90</v>
          </cell>
          <cell r="AU16" t="str">
            <v>Pending</v>
          </cell>
          <cell r="AV16">
            <v>0</v>
          </cell>
          <cell r="AW16">
            <v>90</v>
          </cell>
          <cell r="AX16" t="str">
            <v>Pending</v>
          </cell>
          <cell r="AY16">
            <v>0</v>
          </cell>
          <cell r="AZ16">
            <v>90</v>
          </cell>
          <cell r="BA16" t="str">
            <v>Pending</v>
          </cell>
          <cell r="BB16">
            <v>0</v>
          </cell>
          <cell r="BC16">
            <v>90</v>
          </cell>
          <cell r="BD16" t="str">
            <v>Pending</v>
          </cell>
          <cell r="BE16">
            <v>0</v>
          </cell>
          <cell r="BF16">
            <v>90</v>
          </cell>
          <cell r="BG16" t="str">
            <v>Pending</v>
          </cell>
          <cell r="BH16">
            <v>0</v>
          </cell>
          <cell r="BI16">
            <v>90</v>
          </cell>
          <cell r="BJ16" t="str">
            <v>Pending</v>
          </cell>
          <cell r="BK16">
            <v>0</v>
          </cell>
          <cell r="BL16">
            <v>90</v>
          </cell>
          <cell r="BM16" t="str">
            <v>Pending</v>
          </cell>
          <cell r="BN16">
            <v>0</v>
          </cell>
          <cell r="BO16">
            <v>90</v>
          </cell>
          <cell r="BP16" t="str">
            <v>Pending</v>
          </cell>
          <cell r="BQ16">
            <v>0</v>
          </cell>
          <cell r="BR16">
            <v>90</v>
          </cell>
          <cell r="BS16" t="str">
            <v>Pending</v>
          </cell>
          <cell r="BT16">
            <v>0</v>
          </cell>
          <cell r="BU16">
            <v>90</v>
          </cell>
          <cell r="BV16" t="str">
            <v>Pending</v>
          </cell>
          <cell r="BW16">
            <v>0</v>
          </cell>
          <cell r="BX16">
            <v>90</v>
          </cell>
          <cell r="BY16" t="str">
            <v>Pending</v>
          </cell>
          <cell r="BZ16">
            <v>0</v>
          </cell>
          <cell r="CA16">
            <v>90</v>
          </cell>
          <cell r="CB16" t="str">
            <v>Pending</v>
          </cell>
          <cell r="CC16">
            <v>0</v>
          </cell>
          <cell r="CD16">
            <v>90</v>
          </cell>
          <cell r="CE16" t="str">
            <v>Pending</v>
          </cell>
          <cell r="CF16">
            <v>0</v>
          </cell>
          <cell r="CG16">
            <v>90</v>
          </cell>
          <cell r="CH16" t="str">
            <v>Pending</v>
          </cell>
          <cell r="CI16">
            <v>0</v>
          </cell>
        </row>
        <row r="17">
          <cell r="L17">
            <v>25</v>
          </cell>
          <cell r="M17">
            <v>25</v>
          </cell>
          <cell r="N17" t="str">
            <v>In Progress</v>
          </cell>
          <cell r="O17">
            <v>5</v>
          </cell>
          <cell r="P17">
            <v>20</v>
          </cell>
          <cell r="Q17" t="str">
            <v>In Progress</v>
          </cell>
          <cell r="R17">
            <v>10</v>
          </cell>
          <cell r="S17">
            <v>10</v>
          </cell>
          <cell r="T17" t="str">
            <v>In Progress</v>
          </cell>
          <cell r="U17">
            <v>5</v>
          </cell>
          <cell r="V17">
            <v>5</v>
          </cell>
          <cell r="W17" t="str">
            <v>In Progress</v>
          </cell>
          <cell r="X17">
            <v>5</v>
          </cell>
          <cell r="Y17">
            <v>0</v>
          </cell>
          <cell r="Z17" t="str">
            <v>Complete</v>
          </cell>
          <cell r="AA17">
            <v>0</v>
          </cell>
          <cell r="AB17">
            <v>0</v>
          </cell>
          <cell r="AC17" t="str">
            <v>Complete</v>
          </cell>
          <cell r="AD17">
            <v>0</v>
          </cell>
          <cell r="AE17">
            <v>0</v>
          </cell>
          <cell r="AF17" t="str">
            <v>Complete</v>
          </cell>
          <cell r="AG17">
            <v>0</v>
          </cell>
          <cell r="AH17">
            <v>0</v>
          </cell>
          <cell r="AI17" t="str">
            <v>Complete</v>
          </cell>
          <cell r="AJ17">
            <v>0</v>
          </cell>
          <cell r="AK17">
            <v>0</v>
          </cell>
          <cell r="AL17" t="str">
            <v>Complete</v>
          </cell>
          <cell r="AM17">
            <v>0</v>
          </cell>
          <cell r="AN17">
            <v>0</v>
          </cell>
          <cell r="AO17" t="str">
            <v>Complete</v>
          </cell>
          <cell r="AP17">
            <v>0</v>
          </cell>
          <cell r="AQ17">
            <v>0</v>
          </cell>
          <cell r="AR17" t="str">
            <v>Complete</v>
          </cell>
          <cell r="AT17">
            <v>0</v>
          </cell>
          <cell r="AU17" t="str">
            <v>Complete</v>
          </cell>
          <cell r="AW17">
            <v>0</v>
          </cell>
          <cell r="AX17" t="str">
            <v>Complete</v>
          </cell>
          <cell r="AZ17">
            <v>0</v>
          </cell>
          <cell r="BA17" t="str">
            <v>Complete</v>
          </cell>
          <cell r="BB17">
            <v>0</v>
          </cell>
          <cell r="BC17">
            <v>0</v>
          </cell>
          <cell r="BD17" t="str">
            <v>Complete</v>
          </cell>
          <cell r="BE17">
            <v>0</v>
          </cell>
          <cell r="BF17">
            <v>0</v>
          </cell>
          <cell r="BG17" t="str">
            <v>Complete</v>
          </cell>
          <cell r="BH17">
            <v>0</v>
          </cell>
          <cell r="BI17">
            <v>0</v>
          </cell>
          <cell r="BJ17" t="str">
            <v>Complete</v>
          </cell>
          <cell r="BK17">
            <v>0</v>
          </cell>
          <cell r="BL17">
            <v>0</v>
          </cell>
          <cell r="BM17" t="str">
            <v>Complete</v>
          </cell>
          <cell r="BN17">
            <v>0</v>
          </cell>
          <cell r="BO17">
            <v>0</v>
          </cell>
          <cell r="BP17" t="str">
            <v>Complete</v>
          </cell>
          <cell r="BQ17">
            <v>0</v>
          </cell>
          <cell r="BR17">
            <v>0</v>
          </cell>
          <cell r="BS17" t="str">
            <v>Complete</v>
          </cell>
          <cell r="BT17">
            <v>0</v>
          </cell>
          <cell r="BU17">
            <v>0</v>
          </cell>
          <cell r="BV17" t="str">
            <v>Complete</v>
          </cell>
          <cell r="BW17">
            <v>0</v>
          </cell>
          <cell r="BX17">
            <v>0</v>
          </cell>
          <cell r="BY17" t="str">
            <v>Complete</v>
          </cell>
          <cell r="BZ17">
            <v>0</v>
          </cell>
          <cell r="CA17">
            <v>0</v>
          </cell>
          <cell r="CB17" t="str">
            <v>Complete</v>
          </cell>
          <cell r="CC17">
            <v>0</v>
          </cell>
          <cell r="CD17">
            <v>0</v>
          </cell>
          <cell r="CE17" t="str">
            <v>Complete</v>
          </cell>
          <cell r="CF17">
            <v>0</v>
          </cell>
          <cell r="CG17">
            <v>0</v>
          </cell>
          <cell r="CH17" t="str">
            <v>Complete</v>
          </cell>
          <cell r="CI17">
            <v>50</v>
          </cell>
        </row>
      </sheetData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information"/>
      <sheetName val="Planning"/>
      <sheetName val="Sprint"/>
      <sheetName val="Velocity"/>
      <sheetName val="Analysis"/>
      <sheetName val="Sprint Review Report"/>
      <sheetName val="Guidelines "/>
      <sheetName val="Reference"/>
      <sheetName val="List"/>
      <sheetName val="Project_information1"/>
      <sheetName val="Sprint_Review_Report1"/>
      <sheetName val="Guidelines_1"/>
      <sheetName val="Project_information"/>
      <sheetName val="Sprint_Review_Report"/>
      <sheetName val="Guidelines_"/>
    </sheetNames>
    <sheetDataSet>
      <sheetData sheetId="0"/>
      <sheetData sheetId="1">
        <row r="9">
          <cell r="B9">
            <v>39630</v>
          </cell>
        </row>
        <row r="43">
          <cell r="B43">
            <v>0</v>
          </cell>
        </row>
        <row r="44">
          <cell r="B44">
            <v>0</v>
          </cell>
        </row>
        <row r="47">
          <cell r="B47">
            <v>3</v>
          </cell>
        </row>
        <row r="48">
          <cell r="B48">
            <v>1</v>
          </cell>
        </row>
        <row r="49">
          <cell r="B49">
            <v>2</v>
          </cell>
        </row>
        <row r="50">
          <cell r="B50">
            <v>3</v>
          </cell>
        </row>
      </sheetData>
      <sheetData sheetId="2">
        <row r="1">
          <cell r="L1">
            <v>39630</v>
          </cell>
          <cell r="O1">
            <v>39631</v>
          </cell>
          <cell r="R1">
            <v>39632</v>
          </cell>
          <cell r="U1">
            <v>39633</v>
          </cell>
          <cell r="X1">
            <v>39634</v>
          </cell>
          <cell r="AA1">
            <v>39635</v>
          </cell>
          <cell r="AD1">
            <v>39636</v>
          </cell>
          <cell r="AG1">
            <v>39637</v>
          </cell>
          <cell r="AJ1">
            <v>39638</v>
          </cell>
          <cell r="AM1">
            <v>39639</v>
          </cell>
          <cell r="AP1">
            <v>39640</v>
          </cell>
          <cell r="AS1">
            <v>39641</v>
          </cell>
          <cell r="AV1">
            <v>39642</v>
          </cell>
          <cell r="AY1">
            <v>39643</v>
          </cell>
          <cell r="BB1">
            <v>39644</v>
          </cell>
          <cell r="BE1">
            <v>39645</v>
          </cell>
          <cell r="BH1">
            <v>39646</v>
          </cell>
          <cell r="BK1">
            <v>39647</v>
          </cell>
          <cell r="BN1">
            <v>39648</v>
          </cell>
          <cell r="BQ1">
            <v>39649</v>
          </cell>
          <cell r="BT1">
            <v>39650</v>
          </cell>
          <cell r="BW1">
            <v>39651</v>
          </cell>
          <cell r="BZ1">
            <v>39652</v>
          </cell>
          <cell r="CC1">
            <v>39653</v>
          </cell>
          <cell r="CF1">
            <v>39654</v>
          </cell>
        </row>
        <row r="4">
          <cell r="L4">
            <v>0</v>
          </cell>
          <cell r="M4">
            <v>11</v>
          </cell>
          <cell r="N4" t="str">
            <v>Pending</v>
          </cell>
          <cell r="O4">
            <v>0</v>
          </cell>
          <cell r="P4">
            <v>11</v>
          </cell>
          <cell r="Q4" t="str">
            <v>Pending</v>
          </cell>
          <cell r="R4">
            <v>0</v>
          </cell>
          <cell r="S4">
            <v>11</v>
          </cell>
          <cell r="T4" t="str">
            <v>Pending</v>
          </cell>
          <cell r="V4">
            <v>11</v>
          </cell>
          <cell r="W4" t="str">
            <v>Pending</v>
          </cell>
          <cell r="X4">
            <v>0</v>
          </cell>
          <cell r="Y4">
            <v>11</v>
          </cell>
          <cell r="Z4" t="str">
            <v>Pending</v>
          </cell>
          <cell r="AA4">
            <v>0</v>
          </cell>
          <cell r="AB4">
            <v>11</v>
          </cell>
          <cell r="AC4" t="str">
            <v>Pending</v>
          </cell>
          <cell r="AD4">
            <v>0</v>
          </cell>
          <cell r="AE4">
            <v>11</v>
          </cell>
          <cell r="AF4" t="str">
            <v>Pending</v>
          </cell>
          <cell r="AG4">
            <v>0</v>
          </cell>
          <cell r="AH4">
            <v>11</v>
          </cell>
          <cell r="AI4" t="str">
            <v>Pending</v>
          </cell>
          <cell r="AJ4">
            <v>0</v>
          </cell>
          <cell r="AK4">
            <v>11</v>
          </cell>
          <cell r="AL4" t="str">
            <v>Pending</v>
          </cell>
          <cell r="AM4">
            <v>0</v>
          </cell>
          <cell r="AN4">
            <v>11</v>
          </cell>
          <cell r="AO4" t="str">
            <v>Pending</v>
          </cell>
          <cell r="AP4">
            <v>0</v>
          </cell>
          <cell r="AQ4">
            <v>11</v>
          </cell>
          <cell r="AR4" t="str">
            <v>Pending</v>
          </cell>
          <cell r="AS4">
            <v>0</v>
          </cell>
          <cell r="AT4">
            <v>11</v>
          </cell>
          <cell r="AU4" t="str">
            <v>Pending</v>
          </cell>
          <cell r="AV4">
            <v>0</v>
          </cell>
          <cell r="AW4">
            <v>11</v>
          </cell>
          <cell r="AX4" t="str">
            <v>Pending</v>
          </cell>
          <cell r="AY4">
            <v>0</v>
          </cell>
          <cell r="AZ4">
            <v>11</v>
          </cell>
          <cell r="BA4" t="str">
            <v>Pending</v>
          </cell>
          <cell r="BB4">
            <v>0</v>
          </cell>
          <cell r="BC4">
            <v>11</v>
          </cell>
          <cell r="BD4" t="str">
            <v>Pending</v>
          </cell>
          <cell r="BE4">
            <v>0</v>
          </cell>
          <cell r="BF4">
            <v>11</v>
          </cell>
          <cell r="BG4" t="str">
            <v>Pending</v>
          </cell>
          <cell r="BH4">
            <v>0</v>
          </cell>
          <cell r="BI4">
            <v>11</v>
          </cell>
          <cell r="BJ4" t="str">
            <v>Pending</v>
          </cell>
          <cell r="BK4">
            <v>0</v>
          </cell>
          <cell r="BL4">
            <v>11</v>
          </cell>
          <cell r="BM4" t="str">
            <v>Pending</v>
          </cell>
          <cell r="BN4">
            <v>0</v>
          </cell>
          <cell r="BO4">
            <v>11</v>
          </cell>
          <cell r="BP4" t="str">
            <v>Pending</v>
          </cell>
          <cell r="BQ4">
            <v>0</v>
          </cell>
          <cell r="BR4">
            <v>11</v>
          </cell>
          <cell r="BS4" t="str">
            <v>Pending</v>
          </cell>
          <cell r="BT4">
            <v>0</v>
          </cell>
          <cell r="BU4">
            <v>11</v>
          </cell>
          <cell r="BV4" t="str">
            <v>Pending</v>
          </cell>
          <cell r="BW4">
            <v>0</v>
          </cell>
          <cell r="BX4">
            <v>11</v>
          </cell>
          <cell r="BY4" t="str">
            <v>Pending</v>
          </cell>
          <cell r="BZ4">
            <v>0</v>
          </cell>
          <cell r="CA4">
            <v>11</v>
          </cell>
          <cell r="CB4" t="str">
            <v>Pending</v>
          </cell>
          <cell r="CC4">
            <v>0</v>
          </cell>
          <cell r="CD4">
            <v>11</v>
          </cell>
          <cell r="CE4" t="str">
            <v>Pending</v>
          </cell>
          <cell r="CF4">
            <v>0</v>
          </cell>
          <cell r="CG4">
            <v>11</v>
          </cell>
          <cell r="CH4" t="str">
            <v>Pending</v>
          </cell>
          <cell r="CI4">
            <v>0</v>
          </cell>
        </row>
        <row r="5">
          <cell r="L5">
            <v>25</v>
          </cell>
          <cell r="M5">
            <v>25</v>
          </cell>
          <cell r="N5" t="str">
            <v>In Progress</v>
          </cell>
          <cell r="O5">
            <v>5</v>
          </cell>
          <cell r="P5">
            <v>20</v>
          </cell>
          <cell r="Q5" t="str">
            <v>In Progress</v>
          </cell>
          <cell r="R5">
            <v>10</v>
          </cell>
          <cell r="S5">
            <v>10</v>
          </cell>
          <cell r="T5" t="str">
            <v>In Progress</v>
          </cell>
          <cell r="U5">
            <v>5</v>
          </cell>
          <cell r="V5">
            <v>5</v>
          </cell>
          <cell r="W5" t="str">
            <v>In Progress</v>
          </cell>
          <cell r="X5">
            <v>5</v>
          </cell>
          <cell r="Y5">
            <v>0</v>
          </cell>
          <cell r="Z5" t="str">
            <v>Complete</v>
          </cell>
          <cell r="AA5">
            <v>0</v>
          </cell>
          <cell r="AB5">
            <v>0</v>
          </cell>
          <cell r="AC5" t="str">
            <v>Complete</v>
          </cell>
          <cell r="AD5">
            <v>0</v>
          </cell>
          <cell r="AE5">
            <v>0</v>
          </cell>
          <cell r="AF5" t="str">
            <v>Complete</v>
          </cell>
          <cell r="AG5">
            <v>0</v>
          </cell>
          <cell r="AH5">
            <v>0</v>
          </cell>
          <cell r="AI5" t="str">
            <v>Complete</v>
          </cell>
          <cell r="AJ5">
            <v>0</v>
          </cell>
          <cell r="AK5">
            <v>0</v>
          </cell>
          <cell r="AL5" t="str">
            <v>Complete</v>
          </cell>
          <cell r="AM5">
            <v>0</v>
          </cell>
          <cell r="AN5">
            <v>0</v>
          </cell>
          <cell r="AO5" t="str">
            <v>Complete</v>
          </cell>
          <cell r="AP5">
            <v>0</v>
          </cell>
          <cell r="AQ5">
            <v>0</v>
          </cell>
          <cell r="AR5" t="str">
            <v>Complete</v>
          </cell>
          <cell r="AT5">
            <v>0</v>
          </cell>
          <cell r="AU5" t="str">
            <v>Complete</v>
          </cell>
          <cell r="AW5">
            <v>0</v>
          </cell>
          <cell r="AX5" t="str">
            <v>Complete</v>
          </cell>
          <cell r="AZ5">
            <v>0</v>
          </cell>
          <cell r="BA5" t="str">
            <v>Complete</v>
          </cell>
          <cell r="BB5">
            <v>0</v>
          </cell>
          <cell r="BC5">
            <v>0</v>
          </cell>
          <cell r="BD5" t="str">
            <v>Complete</v>
          </cell>
          <cell r="BE5">
            <v>0</v>
          </cell>
          <cell r="BF5">
            <v>0</v>
          </cell>
          <cell r="BG5" t="str">
            <v>Complete</v>
          </cell>
          <cell r="BH5">
            <v>0</v>
          </cell>
          <cell r="BI5">
            <v>0</v>
          </cell>
          <cell r="BJ5" t="str">
            <v>Complete</v>
          </cell>
          <cell r="BK5">
            <v>0</v>
          </cell>
          <cell r="BL5">
            <v>0</v>
          </cell>
          <cell r="BM5" t="str">
            <v>Complete</v>
          </cell>
          <cell r="BN5">
            <v>0</v>
          </cell>
          <cell r="BO5">
            <v>0</v>
          </cell>
          <cell r="BP5" t="str">
            <v>Complete</v>
          </cell>
          <cell r="BQ5">
            <v>0</v>
          </cell>
          <cell r="BR5">
            <v>0</v>
          </cell>
          <cell r="BS5" t="str">
            <v>Complete</v>
          </cell>
          <cell r="BT5">
            <v>0</v>
          </cell>
          <cell r="BU5">
            <v>0</v>
          </cell>
          <cell r="BV5" t="str">
            <v>Complete</v>
          </cell>
          <cell r="BW5">
            <v>0</v>
          </cell>
          <cell r="BX5">
            <v>0</v>
          </cell>
          <cell r="BY5" t="str">
            <v>Complete</v>
          </cell>
          <cell r="BZ5">
            <v>0</v>
          </cell>
          <cell r="CA5">
            <v>0</v>
          </cell>
          <cell r="CB5" t="str">
            <v>Complete</v>
          </cell>
          <cell r="CC5">
            <v>0</v>
          </cell>
          <cell r="CD5">
            <v>0</v>
          </cell>
          <cell r="CE5" t="str">
            <v>Complete</v>
          </cell>
          <cell r="CF5">
            <v>0</v>
          </cell>
          <cell r="CG5">
            <v>0</v>
          </cell>
          <cell r="CH5" t="str">
            <v>Complete</v>
          </cell>
          <cell r="CI5">
            <v>50</v>
          </cell>
        </row>
        <row r="6">
          <cell r="L6">
            <v>0</v>
          </cell>
          <cell r="M6">
            <v>0</v>
          </cell>
          <cell r="N6" t="str">
            <v>Pending</v>
          </cell>
          <cell r="O6">
            <v>0</v>
          </cell>
          <cell r="P6">
            <v>0</v>
          </cell>
          <cell r="Q6" t="str">
            <v>Pending</v>
          </cell>
          <cell r="R6">
            <v>0</v>
          </cell>
          <cell r="S6">
            <v>0</v>
          </cell>
          <cell r="T6" t="str">
            <v>Pending</v>
          </cell>
          <cell r="U6">
            <v>0</v>
          </cell>
          <cell r="V6">
            <v>0</v>
          </cell>
          <cell r="W6" t="str">
            <v>Pending</v>
          </cell>
          <cell r="X6">
            <v>0</v>
          </cell>
          <cell r="Y6">
            <v>0</v>
          </cell>
          <cell r="Z6" t="str">
            <v>Pending</v>
          </cell>
          <cell r="AA6">
            <v>0</v>
          </cell>
          <cell r="AB6">
            <v>0</v>
          </cell>
          <cell r="AC6" t="str">
            <v>Pending</v>
          </cell>
          <cell r="AD6">
            <v>0</v>
          </cell>
          <cell r="AE6">
            <v>0</v>
          </cell>
          <cell r="AF6" t="str">
            <v>Pending</v>
          </cell>
          <cell r="AG6">
            <v>0</v>
          </cell>
          <cell r="AH6">
            <v>0</v>
          </cell>
          <cell r="AI6" t="str">
            <v>Pending</v>
          </cell>
          <cell r="AJ6">
            <v>0</v>
          </cell>
          <cell r="AK6">
            <v>0</v>
          </cell>
          <cell r="AL6" t="str">
            <v>Pending</v>
          </cell>
          <cell r="AM6">
            <v>0</v>
          </cell>
          <cell r="AN6">
            <v>0</v>
          </cell>
          <cell r="AO6" t="str">
            <v>Pending</v>
          </cell>
          <cell r="AP6">
            <v>0</v>
          </cell>
          <cell r="AQ6">
            <v>0</v>
          </cell>
          <cell r="AR6" t="str">
            <v>Pending</v>
          </cell>
          <cell r="AS6">
            <v>0</v>
          </cell>
          <cell r="AT6">
            <v>0</v>
          </cell>
          <cell r="AU6" t="str">
            <v>Pending</v>
          </cell>
          <cell r="AV6">
            <v>0</v>
          </cell>
          <cell r="AW6">
            <v>0</v>
          </cell>
          <cell r="AX6" t="str">
            <v>Pending</v>
          </cell>
          <cell r="AY6">
            <v>0</v>
          </cell>
          <cell r="AZ6">
            <v>0</v>
          </cell>
          <cell r="BA6" t="str">
            <v>Pending</v>
          </cell>
          <cell r="BB6">
            <v>0</v>
          </cell>
          <cell r="BC6">
            <v>0</v>
          </cell>
          <cell r="BD6" t="str">
            <v>Pending</v>
          </cell>
          <cell r="BE6">
            <v>0</v>
          </cell>
          <cell r="BF6">
            <v>0</v>
          </cell>
          <cell r="BG6" t="str">
            <v>Pending</v>
          </cell>
          <cell r="BH6">
            <v>0</v>
          </cell>
          <cell r="BI6">
            <v>0</v>
          </cell>
          <cell r="BJ6" t="str">
            <v>Pending</v>
          </cell>
          <cell r="BK6">
            <v>0</v>
          </cell>
          <cell r="BL6">
            <v>0</v>
          </cell>
          <cell r="BM6" t="str">
            <v>Pending</v>
          </cell>
          <cell r="BN6">
            <v>0</v>
          </cell>
          <cell r="BO6">
            <v>0</v>
          </cell>
          <cell r="BP6" t="str">
            <v>Pending</v>
          </cell>
          <cell r="BQ6">
            <v>0</v>
          </cell>
          <cell r="BR6">
            <v>0</v>
          </cell>
          <cell r="BS6" t="str">
            <v>Pending</v>
          </cell>
          <cell r="BT6">
            <v>0</v>
          </cell>
          <cell r="BU6">
            <v>0</v>
          </cell>
          <cell r="BV6" t="str">
            <v>Pending</v>
          </cell>
          <cell r="BW6">
            <v>0</v>
          </cell>
          <cell r="BX6">
            <v>0</v>
          </cell>
          <cell r="BY6" t="str">
            <v>Pending</v>
          </cell>
          <cell r="BZ6">
            <v>0</v>
          </cell>
          <cell r="CA6">
            <v>0</v>
          </cell>
          <cell r="CB6" t="str">
            <v>Pending</v>
          </cell>
          <cell r="CC6">
            <v>0</v>
          </cell>
          <cell r="CD6">
            <v>0</v>
          </cell>
          <cell r="CE6" t="str">
            <v>Pending</v>
          </cell>
          <cell r="CF6">
            <v>0</v>
          </cell>
          <cell r="CG6">
            <v>0</v>
          </cell>
          <cell r="CH6" t="str">
            <v>Pending</v>
          </cell>
          <cell r="CI6">
            <v>0</v>
          </cell>
        </row>
        <row r="7">
          <cell r="L7">
            <v>0</v>
          </cell>
          <cell r="M7">
            <v>0</v>
          </cell>
          <cell r="N7" t="str">
            <v>Pending</v>
          </cell>
          <cell r="O7">
            <v>0</v>
          </cell>
          <cell r="P7">
            <v>0</v>
          </cell>
          <cell r="Q7" t="str">
            <v>Pending</v>
          </cell>
          <cell r="R7">
            <v>0</v>
          </cell>
          <cell r="S7">
            <v>0</v>
          </cell>
          <cell r="T7" t="str">
            <v>Pending</v>
          </cell>
          <cell r="U7">
            <v>0</v>
          </cell>
          <cell r="V7">
            <v>0</v>
          </cell>
          <cell r="W7" t="str">
            <v>Pending</v>
          </cell>
          <cell r="X7">
            <v>0</v>
          </cell>
          <cell r="Y7">
            <v>0</v>
          </cell>
          <cell r="Z7" t="str">
            <v>Pending</v>
          </cell>
          <cell r="AA7">
            <v>0</v>
          </cell>
          <cell r="AB7">
            <v>0</v>
          </cell>
          <cell r="AC7" t="str">
            <v>Pending</v>
          </cell>
          <cell r="AD7">
            <v>0</v>
          </cell>
          <cell r="AE7">
            <v>0</v>
          </cell>
          <cell r="AF7" t="str">
            <v>Pending</v>
          </cell>
          <cell r="AG7">
            <v>0</v>
          </cell>
          <cell r="AH7">
            <v>0</v>
          </cell>
          <cell r="AI7" t="str">
            <v>Pending</v>
          </cell>
          <cell r="AJ7">
            <v>0</v>
          </cell>
          <cell r="AK7">
            <v>0</v>
          </cell>
          <cell r="AL7" t="str">
            <v>Pending</v>
          </cell>
          <cell r="AM7">
            <v>0</v>
          </cell>
          <cell r="AN7">
            <v>0</v>
          </cell>
          <cell r="AO7" t="str">
            <v>Pending</v>
          </cell>
          <cell r="AP7">
            <v>0</v>
          </cell>
          <cell r="AQ7">
            <v>0</v>
          </cell>
          <cell r="AR7" t="str">
            <v>Pending</v>
          </cell>
          <cell r="AS7">
            <v>0</v>
          </cell>
          <cell r="AT7">
            <v>0</v>
          </cell>
          <cell r="AU7" t="str">
            <v>Pending</v>
          </cell>
          <cell r="AV7">
            <v>0</v>
          </cell>
          <cell r="AW7">
            <v>0</v>
          </cell>
          <cell r="AX7" t="str">
            <v>Pending</v>
          </cell>
          <cell r="AY7">
            <v>0</v>
          </cell>
          <cell r="AZ7">
            <v>0</v>
          </cell>
          <cell r="BA7" t="str">
            <v>Pending</v>
          </cell>
          <cell r="BB7">
            <v>0</v>
          </cell>
          <cell r="BC7">
            <v>0</v>
          </cell>
          <cell r="BD7" t="str">
            <v>Pending</v>
          </cell>
          <cell r="BE7">
            <v>0</v>
          </cell>
          <cell r="BF7">
            <v>0</v>
          </cell>
          <cell r="BG7" t="str">
            <v>Pending</v>
          </cell>
          <cell r="BH7">
            <v>0</v>
          </cell>
          <cell r="BI7">
            <v>0</v>
          </cell>
          <cell r="BJ7" t="str">
            <v>Pending</v>
          </cell>
          <cell r="BK7">
            <v>0</v>
          </cell>
          <cell r="BL7">
            <v>0</v>
          </cell>
          <cell r="BM7" t="str">
            <v>Pending</v>
          </cell>
          <cell r="BN7">
            <v>0</v>
          </cell>
          <cell r="BO7">
            <v>0</v>
          </cell>
          <cell r="BP7" t="str">
            <v>Pending</v>
          </cell>
          <cell r="BQ7">
            <v>0</v>
          </cell>
          <cell r="BR7">
            <v>0</v>
          </cell>
          <cell r="BS7" t="str">
            <v>Pending</v>
          </cell>
          <cell r="BT7">
            <v>0</v>
          </cell>
          <cell r="BU7">
            <v>0</v>
          </cell>
          <cell r="BV7" t="str">
            <v>Pending</v>
          </cell>
          <cell r="BW7">
            <v>0</v>
          </cell>
          <cell r="BX7">
            <v>0</v>
          </cell>
          <cell r="BY7" t="str">
            <v>Pending</v>
          </cell>
          <cell r="BZ7">
            <v>0</v>
          </cell>
          <cell r="CA7">
            <v>0</v>
          </cell>
          <cell r="CB7" t="str">
            <v>Pending</v>
          </cell>
          <cell r="CC7">
            <v>0</v>
          </cell>
          <cell r="CD7">
            <v>0</v>
          </cell>
          <cell r="CE7" t="str">
            <v>Pending</v>
          </cell>
          <cell r="CF7">
            <v>0</v>
          </cell>
          <cell r="CG7">
            <v>0</v>
          </cell>
          <cell r="CH7" t="str">
            <v>Pending</v>
          </cell>
          <cell r="CI7">
            <v>0</v>
          </cell>
        </row>
        <row r="8">
          <cell r="L8">
            <v>0</v>
          </cell>
          <cell r="M8">
            <v>0</v>
          </cell>
          <cell r="N8" t="str">
            <v>Pending</v>
          </cell>
          <cell r="O8">
            <v>0</v>
          </cell>
          <cell r="P8">
            <v>0</v>
          </cell>
          <cell r="Q8" t="str">
            <v>Pending</v>
          </cell>
          <cell r="R8">
            <v>0</v>
          </cell>
          <cell r="S8">
            <v>0</v>
          </cell>
          <cell r="T8" t="str">
            <v>Pending</v>
          </cell>
          <cell r="U8">
            <v>0</v>
          </cell>
          <cell r="V8">
            <v>0</v>
          </cell>
          <cell r="W8" t="str">
            <v>Pending</v>
          </cell>
          <cell r="X8">
            <v>0</v>
          </cell>
          <cell r="Y8">
            <v>0</v>
          </cell>
          <cell r="Z8" t="str">
            <v>Pending</v>
          </cell>
          <cell r="AA8">
            <v>0</v>
          </cell>
          <cell r="AB8">
            <v>0</v>
          </cell>
          <cell r="AC8" t="str">
            <v>Pending</v>
          </cell>
          <cell r="AD8">
            <v>0</v>
          </cell>
          <cell r="AE8">
            <v>0</v>
          </cell>
          <cell r="AF8" t="str">
            <v>Pending</v>
          </cell>
          <cell r="AG8">
            <v>0</v>
          </cell>
          <cell r="AH8">
            <v>0</v>
          </cell>
          <cell r="AI8" t="str">
            <v>Pending</v>
          </cell>
          <cell r="AJ8">
            <v>0</v>
          </cell>
          <cell r="AK8">
            <v>0</v>
          </cell>
          <cell r="AL8" t="str">
            <v>Pending</v>
          </cell>
          <cell r="AM8">
            <v>0</v>
          </cell>
          <cell r="AN8">
            <v>0</v>
          </cell>
          <cell r="AO8" t="str">
            <v>Pending</v>
          </cell>
          <cell r="AP8">
            <v>0</v>
          </cell>
          <cell r="AQ8">
            <v>0</v>
          </cell>
          <cell r="AR8" t="str">
            <v>Pending</v>
          </cell>
          <cell r="AS8">
            <v>0</v>
          </cell>
          <cell r="AT8">
            <v>0</v>
          </cell>
          <cell r="AU8" t="str">
            <v>Pending</v>
          </cell>
          <cell r="AV8">
            <v>0</v>
          </cell>
          <cell r="AW8">
            <v>0</v>
          </cell>
          <cell r="AX8" t="str">
            <v>Pending</v>
          </cell>
          <cell r="AY8">
            <v>0</v>
          </cell>
          <cell r="AZ8">
            <v>0</v>
          </cell>
          <cell r="BA8" t="str">
            <v>Pending</v>
          </cell>
          <cell r="BB8">
            <v>0</v>
          </cell>
          <cell r="BC8">
            <v>0</v>
          </cell>
          <cell r="BD8" t="str">
            <v>Pending</v>
          </cell>
          <cell r="BE8">
            <v>0</v>
          </cell>
          <cell r="BF8">
            <v>0</v>
          </cell>
          <cell r="BG8" t="str">
            <v>Pending</v>
          </cell>
          <cell r="BH8">
            <v>0</v>
          </cell>
          <cell r="BI8">
            <v>0</v>
          </cell>
          <cell r="BJ8" t="str">
            <v>Pending</v>
          </cell>
          <cell r="BK8">
            <v>0</v>
          </cell>
          <cell r="BL8">
            <v>0</v>
          </cell>
          <cell r="BM8" t="str">
            <v>Pending</v>
          </cell>
          <cell r="BN8">
            <v>0</v>
          </cell>
          <cell r="BO8">
            <v>0</v>
          </cell>
          <cell r="BP8" t="str">
            <v>Pending</v>
          </cell>
          <cell r="BQ8">
            <v>0</v>
          </cell>
          <cell r="BR8">
            <v>0</v>
          </cell>
          <cell r="BS8" t="str">
            <v>Pending</v>
          </cell>
          <cell r="BT8">
            <v>0</v>
          </cell>
          <cell r="BU8">
            <v>0</v>
          </cell>
          <cell r="BV8" t="str">
            <v>Pending</v>
          </cell>
          <cell r="BW8">
            <v>0</v>
          </cell>
          <cell r="BX8">
            <v>0</v>
          </cell>
          <cell r="BY8" t="str">
            <v>Pending</v>
          </cell>
          <cell r="BZ8">
            <v>0</v>
          </cell>
          <cell r="CA8">
            <v>0</v>
          </cell>
          <cell r="CB8" t="str">
            <v>Pending</v>
          </cell>
          <cell r="CC8">
            <v>0</v>
          </cell>
          <cell r="CD8">
            <v>0</v>
          </cell>
          <cell r="CE8" t="str">
            <v>Pending</v>
          </cell>
          <cell r="CF8">
            <v>0</v>
          </cell>
          <cell r="CG8">
            <v>0</v>
          </cell>
          <cell r="CH8" t="str">
            <v>Pending</v>
          </cell>
          <cell r="CI8">
            <v>0</v>
          </cell>
        </row>
        <row r="9">
          <cell r="L9">
            <v>0</v>
          </cell>
          <cell r="M9">
            <v>0</v>
          </cell>
          <cell r="N9" t="str">
            <v>Pending</v>
          </cell>
          <cell r="O9">
            <v>0</v>
          </cell>
          <cell r="P9">
            <v>0</v>
          </cell>
          <cell r="Q9" t="str">
            <v>Pending</v>
          </cell>
          <cell r="R9">
            <v>0</v>
          </cell>
          <cell r="S9">
            <v>0</v>
          </cell>
          <cell r="T9" t="str">
            <v>Pending</v>
          </cell>
          <cell r="U9">
            <v>0</v>
          </cell>
          <cell r="V9">
            <v>0</v>
          </cell>
          <cell r="W9" t="str">
            <v>Pending</v>
          </cell>
          <cell r="X9">
            <v>0</v>
          </cell>
          <cell r="Y9">
            <v>0</v>
          </cell>
          <cell r="Z9" t="str">
            <v>Pending</v>
          </cell>
          <cell r="AA9">
            <v>0</v>
          </cell>
          <cell r="AB9">
            <v>0</v>
          </cell>
          <cell r="AC9" t="str">
            <v>Pending</v>
          </cell>
          <cell r="AD9">
            <v>0</v>
          </cell>
          <cell r="AE9">
            <v>0</v>
          </cell>
          <cell r="AF9" t="str">
            <v>Pending</v>
          </cell>
          <cell r="AG9">
            <v>0</v>
          </cell>
          <cell r="AH9">
            <v>0</v>
          </cell>
          <cell r="AI9" t="str">
            <v>Pending</v>
          </cell>
          <cell r="AJ9">
            <v>0</v>
          </cell>
          <cell r="AK9">
            <v>0</v>
          </cell>
          <cell r="AL9" t="str">
            <v>Pending</v>
          </cell>
          <cell r="AM9">
            <v>0</v>
          </cell>
          <cell r="AN9">
            <v>0</v>
          </cell>
          <cell r="AO9" t="str">
            <v>Pending</v>
          </cell>
          <cell r="AP9">
            <v>0</v>
          </cell>
          <cell r="AQ9">
            <v>0</v>
          </cell>
          <cell r="AR9" t="str">
            <v>Pending</v>
          </cell>
          <cell r="AS9">
            <v>0</v>
          </cell>
          <cell r="AT9">
            <v>0</v>
          </cell>
          <cell r="AU9" t="str">
            <v>Pending</v>
          </cell>
          <cell r="AV9">
            <v>0</v>
          </cell>
          <cell r="AW9">
            <v>0</v>
          </cell>
          <cell r="AX9" t="str">
            <v>Pending</v>
          </cell>
          <cell r="AY9">
            <v>0</v>
          </cell>
          <cell r="AZ9">
            <v>0</v>
          </cell>
          <cell r="BA9" t="str">
            <v>Pending</v>
          </cell>
          <cell r="BB9">
            <v>0</v>
          </cell>
          <cell r="BC9">
            <v>0</v>
          </cell>
          <cell r="BD9" t="str">
            <v>Pending</v>
          </cell>
          <cell r="BE9">
            <v>0</v>
          </cell>
          <cell r="BF9">
            <v>0</v>
          </cell>
          <cell r="BG9" t="str">
            <v>Pending</v>
          </cell>
          <cell r="BH9">
            <v>0</v>
          </cell>
          <cell r="BI9">
            <v>0</v>
          </cell>
          <cell r="BJ9" t="str">
            <v>Pending</v>
          </cell>
          <cell r="BK9">
            <v>0</v>
          </cell>
          <cell r="BL9">
            <v>0</v>
          </cell>
          <cell r="BM9" t="str">
            <v>Pending</v>
          </cell>
          <cell r="BN9">
            <v>0</v>
          </cell>
          <cell r="BO9">
            <v>0</v>
          </cell>
          <cell r="BP9" t="str">
            <v>Pending</v>
          </cell>
          <cell r="BQ9">
            <v>0</v>
          </cell>
          <cell r="BR9">
            <v>0</v>
          </cell>
          <cell r="BS9" t="str">
            <v>Pending</v>
          </cell>
          <cell r="BT9">
            <v>0</v>
          </cell>
          <cell r="BU9">
            <v>0</v>
          </cell>
          <cell r="BV9" t="str">
            <v>Pending</v>
          </cell>
          <cell r="BW9">
            <v>0</v>
          </cell>
          <cell r="BX9">
            <v>0</v>
          </cell>
          <cell r="BY9" t="str">
            <v>Pending</v>
          </cell>
          <cell r="BZ9">
            <v>0</v>
          </cell>
          <cell r="CA9">
            <v>0</v>
          </cell>
          <cell r="CB9" t="str">
            <v>Pending</v>
          </cell>
          <cell r="CC9">
            <v>0</v>
          </cell>
          <cell r="CD9">
            <v>0</v>
          </cell>
          <cell r="CE9" t="str">
            <v>Pending</v>
          </cell>
          <cell r="CF9">
            <v>0</v>
          </cell>
          <cell r="CG9">
            <v>0</v>
          </cell>
          <cell r="CH9" t="str">
            <v>Pending</v>
          </cell>
          <cell r="CI9">
            <v>0</v>
          </cell>
        </row>
        <row r="10">
          <cell r="L10">
            <v>0</v>
          </cell>
          <cell r="M10">
            <v>0</v>
          </cell>
          <cell r="N10" t="str">
            <v>Pending</v>
          </cell>
          <cell r="O10">
            <v>0</v>
          </cell>
          <cell r="P10">
            <v>0</v>
          </cell>
          <cell r="Q10" t="str">
            <v>Pending</v>
          </cell>
          <cell r="R10">
            <v>0</v>
          </cell>
          <cell r="S10">
            <v>0</v>
          </cell>
          <cell r="T10" t="str">
            <v>Pending</v>
          </cell>
          <cell r="U10">
            <v>0</v>
          </cell>
          <cell r="V10">
            <v>0</v>
          </cell>
          <cell r="W10" t="str">
            <v>Pending</v>
          </cell>
          <cell r="X10">
            <v>0</v>
          </cell>
          <cell r="Y10">
            <v>0</v>
          </cell>
          <cell r="Z10" t="str">
            <v>Pending</v>
          </cell>
          <cell r="AA10">
            <v>0</v>
          </cell>
          <cell r="AB10">
            <v>0</v>
          </cell>
          <cell r="AC10" t="str">
            <v>Pending</v>
          </cell>
          <cell r="AD10">
            <v>0</v>
          </cell>
          <cell r="AE10">
            <v>0</v>
          </cell>
          <cell r="AF10" t="str">
            <v>Pending</v>
          </cell>
          <cell r="AG10">
            <v>0</v>
          </cell>
          <cell r="AH10">
            <v>0</v>
          </cell>
          <cell r="AI10" t="str">
            <v>Pending</v>
          </cell>
          <cell r="AJ10">
            <v>0</v>
          </cell>
          <cell r="AK10">
            <v>0</v>
          </cell>
          <cell r="AL10" t="str">
            <v>Pending</v>
          </cell>
          <cell r="AM10">
            <v>0</v>
          </cell>
          <cell r="AN10">
            <v>0</v>
          </cell>
          <cell r="AO10" t="str">
            <v>Pending</v>
          </cell>
          <cell r="AP10">
            <v>0</v>
          </cell>
          <cell r="AQ10">
            <v>0</v>
          </cell>
          <cell r="AR10" t="str">
            <v>Pending</v>
          </cell>
          <cell r="AS10">
            <v>0</v>
          </cell>
          <cell r="AT10">
            <v>0</v>
          </cell>
          <cell r="AU10" t="str">
            <v>Pending</v>
          </cell>
          <cell r="AV10">
            <v>0</v>
          </cell>
          <cell r="AW10">
            <v>0</v>
          </cell>
          <cell r="AX10" t="str">
            <v>Pending</v>
          </cell>
          <cell r="AY10">
            <v>0</v>
          </cell>
          <cell r="AZ10">
            <v>0</v>
          </cell>
          <cell r="BA10" t="str">
            <v>Pending</v>
          </cell>
          <cell r="BB10">
            <v>0</v>
          </cell>
          <cell r="BC10">
            <v>0</v>
          </cell>
          <cell r="BD10" t="str">
            <v>Pending</v>
          </cell>
          <cell r="BE10">
            <v>0</v>
          </cell>
          <cell r="BF10">
            <v>0</v>
          </cell>
          <cell r="BG10" t="str">
            <v>Pending</v>
          </cell>
          <cell r="BH10">
            <v>0</v>
          </cell>
          <cell r="BI10">
            <v>0</v>
          </cell>
          <cell r="BJ10" t="str">
            <v>Pending</v>
          </cell>
          <cell r="BK10">
            <v>0</v>
          </cell>
          <cell r="BL10">
            <v>0</v>
          </cell>
          <cell r="BM10" t="str">
            <v>Pending</v>
          </cell>
          <cell r="BN10">
            <v>0</v>
          </cell>
          <cell r="BO10">
            <v>0</v>
          </cell>
          <cell r="BP10" t="str">
            <v>Pending</v>
          </cell>
          <cell r="BQ10">
            <v>0</v>
          </cell>
          <cell r="BR10">
            <v>0</v>
          </cell>
          <cell r="BS10" t="str">
            <v>Pending</v>
          </cell>
          <cell r="BT10">
            <v>0</v>
          </cell>
          <cell r="BU10">
            <v>0</v>
          </cell>
          <cell r="BV10" t="str">
            <v>Pending</v>
          </cell>
          <cell r="BW10">
            <v>0</v>
          </cell>
          <cell r="BX10">
            <v>0</v>
          </cell>
          <cell r="BY10" t="str">
            <v>Pending</v>
          </cell>
          <cell r="BZ10">
            <v>0</v>
          </cell>
          <cell r="CA10">
            <v>0</v>
          </cell>
          <cell r="CB10" t="str">
            <v>Pending</v>
          </cell>
          <cell r="CC10">
            <v>0</v>
          </cell>
          <cell r="CD10">
            <v>0</v>
          </cell>
          <cell r="CE10" t="str">
            <v>Pending</v>
          </cell>
          <cell r="CF10">
            <v>0</v>
          </cell>
          <cell r="CG10">
            <v>0</v>
          </cell>
          <cell r="CH10" t="str">
            <v>Pending</v>
          </cell>
          <cell r="CI10">
            <v>0</v>
          </cell>
        </row>
        <row r="11">
          <cell r="L11">
            <v>0</v>
          </cell>
          <cell r="M11">
            <v>0</v>
          </cell>
          <cell r="N11" t="str">
            <v>Pending</v>
          </cell>
          <cell r="O11">
            <v>0</v>
          </cell>
          <cell r="P11">
            <v>0</v>
          </cell>
          <cell r="Q11" t="str">
            <v>Pending</v>
          </cell>
          <cell r="R11">
            <v>0</v>
          </cell>
          <cell r="S11">
            <v>0</v>
          </cell>
          <cell r="T11" t="str">
            <v>Pending</v>
          </cell>
          <cell r="U11">
            <v>0</v>
          </cell>
          <cell r="V11">
            <v>0</v>
          </cell>
          <cell r="W11" t="str">
            <v>Pending</v>
          </cell>
          <cell r="X11">
            <v>0</v>
          </cell>
          <cell r="Y11">
            <v>0</v>
          </cell>
          <cell r="Z11" t="str">
            <v>Pending</v>
          </cell>
          <cell r="AA11">
            <v>0</v>
          </cell>
          <cell r="AB11">
            <v>0</v>
          </cell>
          <cell r="AC11" t="str">
            <v>Pending</v>
          </cell>
          <cell r="AD11">
            <v>0</v>
          </cell>
          <cell r="AE11">
            <v>0</v>
          </cell>
          <cell r="AF11" t="str">
            <v>Pending</v>
          </cell>
          <cell r="AG11">
            <v>0</v>
          </cell>
          <cell r="AH11">
            <v>0</v>
          </cell>
          <cell r="AI11" t="str">
            <v>Pending</v>
          </cell>
          <cell r="AJ11">
            <v>0</v>
          </cell>
          <cell r="AK11">
            <v>0</v>
          </cell>
          <cell r="AL11" t="str">
            <v>Pending</v>
          </cell>
          <cell r="AM11">
            <v>0</v>
          </cell>
          <cell r="AN11">
            <v>0</v>
          </cell>
          <cell r="AO11" t="str">
            <v>Pending</v>
          </cell>
          <cell r="AP11">
            <v>0</v>
          </cell>
          <cell r="AQ11">
            <v>0</v>
          </cell>
          <cell r="AR11" t="str">
            <v>Pending</v>
          </cell>
          <cell r="AS11">
            <v>0</v>
          </cell>
          <cell r="AT11">
            <v>0</v>
          </cell>
          <cell r="AU11" t="str">
            <v>Pending</v>
          </cell>
          <cell r="AV11">
            <v>0</v>
          </cell>
          <cell r="AW11">
            <v>0</v>
          </cell>
          <cell r="AX11" t="str">
            <v>Pending</v>
          </cell>
          <cell r="AY11">
            <v>0</v>
          </cell>
          <cell r="AZ11">
            <v>0</v>
          </cell>
          <cell r="BA11" t="str">
            <v>Pending</v>
          </cell>
          <cell r="BB11">
            <v>0</v>
          </cell>
          <cell r="BC11">
            <v>0</v>
          </cell>
          <cell r="BD11" t="str">
            <v>Pending</v>
          </cell>
          <cell r="BE11">
            <v>0</v>
          </cell>
          <cell r="BF11">
            <v>0</v>
          </cell>
          <cell r="BG11" t="str">
            <v>Pending</v>
          </cell>
          <cell r="BH11">
            <v>0</v>
          </cell>
          <cell r="BI11">
            <v>0</v>
          </cell>
          <cell r="BJ11" t="str">
            <v>Pending</v>
          </cell>
          <cell r="BK11">
            <v>0</v>
          </cell>
          <cell r="BL11">
            <v>0</v>
          </cell>
          <cell r="BM11" t="str">
            <v>Pending</v>
          </cell>
          <cell r="BN11">
            <v>0</v>
          </cell>
          <cell r="BO11">
            <v>0</v>
          </cell>
          <cell r="BP11" t="str">
            <v>Pending</v>
          </cell>
          <cell r="BQ11">
            <v>0</v>
          </cell>
          <cell r="BR11">
            <v>0</v>
          </cell>
          <cell r="BS11" t="str">
            <v>Pending</v>
          </cell>
          <cell r="BT11">
            <v>0</v>
          </cell>
          <cell r="BU11">
            <v>0</v>
          </cell>
          <cell r="BV11" t="str">
            <v>Pending</v>
          </cell>
          <cell r="BW11">
            <v>0</v>
          </cell>
          <cell r="BX11">
            <v>0</v>
          </cell>
          <cell r="BY11" t="str">
            <v>Pending</v>
          </cell>
          <cell r="BZ11">
            <v>0</v>
          </cell>
          <cell r="CA11">
            <v>0</v>
          </cell>
          <cell r="CB11" t="str">
            <v>Pending</v>
          </cell>
          <cell r="CC11">
            <v>0</v>
          </cell>
          <cell r="CD11">
            <v>0</v>
          </cell>
          <cell r="CE11" t="str">
            <v>Pending</v>
          </cell>
          <cell r="CF11">
            <v>0</v>
          </cell>
          <cell r="CG11">
            <v>0</v>
          </cell>
          <cell r="CH11" t="str">
            <v>Pending</v>
          </cell>
          <cell r="CI11">
            <v>0</v>
          </cell>
        </row>
        <row r="12">
          <cell r="L12">
            <v>0</v>
          </cell>
          <cell r="M12">
            <v>0</v>
          </cell>
          <cell r="N12" t="str">
            <v>Pending</v>
          </cell>
          <cell r="O12">
            <v>0</v>
          </cell>
          <cell r="P12">
            <v>0</v>
          </cell>
          <cell r="Q12" t="str">
            <v>Pending</v>
          </cell>
          <cell r="R12">
            <v>0</v>
          </cell>
          <cell r="S12">
            <v>0</v>
          </cell>
          <cell r="T12" t="str">
            <v>Pending</v>
          </cell>
          <cell r="U12">
            <v>0</v>
          </cell>
          <cell r="V12">
            <v>0</v>
          </cell>
          <cell r="W12" t="str">
            <v>Pending</v>
          </cell>
          <cell r="X12">
            <v>0</v>
          </cell>
          <cell r="Y12">
            <v>0</v>
          </cell>
          <cell r="Z12" t="str">
            <v>Pending</v>
          </cell>
          <cell r="AA12">
            <v>0</v>
          </cell>
          <cell r="AB12">
            <v>0</v>
          </cell>
          <cell r="AC12" t="str">
            <v>Pending</v>
          </cell>
          <cell r="AD12">
            <v>0</v>
          </cell>
          <cell r="AE12">
            <v>0</v>
          </cell>
          <cell r="AF12" t="str">
            <v>Pending</v>
          </cell>
          <cell r="AG12">
            <v>0</v>
          </cell>
          <cell r="AH12">
            <v>0</v>
          </cell>
          <cell r="AI12" t="str">
            <v>Pending</v>
          </cell>
          <cell r="AJ12">
            <v>0</v>
          </cell>
          <cell r="AK12">
            <v>0</v>
          </cell>
          <cell r="AL12" t="str">
            <v>Pending</v>
          </cell>
          <cell r="AM12">
            <v>0</v>
          </cell>
          <cell r="AN12">
            <v>0</v>
          </cell>
          <cell r="AO12" t="str">
            <v>Pending</v>
          </cell>
          <cell r="AP12">
            <v>0</v>
          </cell>
          <cell r="AQ12">
            <v>0</v>
          </cell>
          <cell r="AR12" t="str">
            <v>Pending</v>
          </cell>
          <cell r="AS12">
            <v>0</v>
          </cell>
          <cell r="AT12">
            <v>0</v>
          </cell>
          <cell r="AU12" t="str">
            <v>Pending</v>
          </cell>
          <cell r="AV12">
            <v>0</v>
          </cell>
          <cell r="AW12">
            <v>0</v>
          </cell>
          <cell r="AX12" t="str">
            <v>Pending</v>
          </cell>
          <cell r="AY12">
            <v>0</v>
          </cell>
          <cell r="AZ12">
            <v>0</v>
          </cell>
          <cell r="BA12" t="str">
            <v>Pending</v>
          </cell>
          <cell r="BB12">
            <v>0</v>
          </cell>
          <cell r="BC12">
            <v>0</v>
          </cell>
          <cell r="BD12" t="str">
            <v>Pending</v>
          </cell>
          <cell r="BE12">
            <v>0</v>
          </cell>
          <cell r="BF12">
            <v>0</v>
          </cell>
          <cell r="BG12" t="str">
            <v>Pending</v>
          </cell>
          <cell r="BH12">
            <v>0</v>
          </cell>
          <cell r="BI12">
            <v>0</v>
          </cell>
          <cell r="BJ12" t="str">
            <v>Pending</v>
          </cell>
          <cell r="BK12">
            <v>0</v>
          </cell>
          <cell r="BL12">
            <v>0</v>
          </cell>
          <cell r="BM12" t="str">
            <v>Pending</v>
          </cell>
          <cell r="BN12">
            <v>0</v>
          </cell>
          <cell r="BO12">
            <v>0</v>
          </cell>
          <cell r="BP12" t="str">
            <v>Pending</v>
          </cell>
          <cell r="BQ12">
            <v>0</v>
          </cell>
          <cell r="BR12">
            <v>0</v>
          </cell>
          <cell r="BS12" t="str">
            <v>Pending</v>
          </cell>
          <cell r="BT12">
            <v>0</v>
          </cell>
          <cell r="BU12">
            <v>0</v>
          </cell>
          <cell r="BV12" t="str">
            <v>Pending</v>
          </cell>
          <cell r="BW12">
            <v>0</v>
          </cell>
          <cell r="BX12">
            <v>0</v>
          </cell>
          <cell r="BY12" t="str">
            <v>Pending</v>
          </cell>
          <cell r="BZ12">
            <v>0</v>
          </cell>
          <cell r="CA12">
            <v>0</v>
          </cell>
          <cell r="CB12" t="str">
            <v>Pending</v>
          </cell>
          <cell r="CC12">
            <v>0</v>
          </cell>
          <cell r="CD12">
            <v>0</v>
          </cell>
          <cell r="CE12" t="str">
            <v>Pending</v>
          </cell>
          <cell r="CF12">
            <v>0</v>
          </cell>
          <cell r="CG12">
            <v>0</v>
          </cell>
          <cell r="CH12" t="str">
            <v>Pending</v>
          </cell>
          <cell r="CI12">
            <v>0</v>
          </cell>
        </row>
        <row r="13">
          <cell r="L13">
            <v>0</v>
          </cell>
          <cell r="M13">
            <v>0</v>
          </cell>
          <cell r="N13" t="str">
            <v>Pending</v>
          </cell>
          <cell r="O13">
            <v>0</v>
          </cell>
          <cell r="P13">
            <v>0</v>
          </cell>
          <cell r="Q13" t="str">
            <v>Pending</v>
          </cell>
          <cell r="R13">
            <v>0</v>
          </cell>
          <cell r="S13">
            <v>0</v>
          </cell>
          <cell r="T13" t="str">
            <v>Pending</v>
          </cell>
          <cell r="U13">
            <v>0</v>
          </cell>
          <cell r="V13">
            <v>0</v>
          </cell>
          <cell r="W13" t="str">
            <v>Pending</v>
          </cell>
          <cell r="X13">
            <v>0</v>
          </cell>
          <cell r="Y13">
            <v>0</v>
          </cell>
          <cell r="Z13" t="str">
            <v>Pending</v>
          </cell>
          <cell r="AA13">
            <v>0</v>
          </cell>
          <cell r="AB13">
            <v>0</v>
          </cell>
          <cell r="AC13" t="str">
            <v>Pending</v>
          </cell>
          <cell r="AD13">
            <v>0</v>
          </cell>
          <cell r="AE13">
            <v>0</v>
          </cell>
          <cell r="AF13" t="str">
            <v>Pending</v>
          </cell>
          <cell r="AG13">
            <v>0</v>
          </cell>
          <cell r="AH13">
            <v>0</v>
          </cell>
          <cell r="AI13" t="str">
            <v>Pending</v>
          </cell>
          <cell r="AJ13">
            <v>0</v>
          </cell>
          <cell r="AK13">
            <v>0</v>
          </cell>
          <cell r="AL13" t="str">
            <v>Pending</v>
          </cell>
          <cell r="AN13">
            <v>0</v>
          </cell>
          <cell r="AO13" t="str">
            <v>Pending</v>
          </cell>
          <cell r="AQ13">
            <v>0</v>
          </cell>
          <cell r="AR13" t="str">
            <v>Pending</v>
          </cell>
          <cell r="AT13">
            <v>0</v>
          </cell>
          <cell r="AU13" t="str">
            <v>Pending</v>
          </cell>
          <cell r="AV13">
            <v>0</v>
          </cell>
          <cell r="AW13">
            <v>0</v>
          </cell>
          <cell r="AX13" t="str">
            <v>Pending</v>
          </cell>
          <cell r="AY13">
            <v>0</v>
          </cell>
          <cell r="AZ13">
            <v>0</v>
          </cell>
          <cell r="BA13" t="str">
            <v>Pending</v>
          </cell>
          <cell r="BB13">
            <v>0</v>
          </cell>
          <cell r="BC13">
            <v>0</v>
          </cell>
          <cell r="BD13" t="str">
            <v>Pending</v>
          </cell>
          <cell r="BE13">
            <v>0</v>
          </cell>
          <cell r="BF13">
            <v>0</v>
          </cell>
          <cell r="BG13" t="str">
            <v>Pending</v>
          </cell>
          <cell r="BH13">
            <v>0</v>
          </cell>
          <cell r="BI13">
            <v>0</v>
          </cell>
          <cell r="BJ13" t="str">
            <v>Pending</v>
          </cell>
          <cell r="BK13">
            <v>0</v>
          </cell>
          <cell r="BL13">
            <v>0</v>
          </cell>
          <cell r="BM13" t="str">
            <v>Pending</v>
          </cell>
          <cell r="BN13">
            <v>0</v>
          </cell>
          <cell r="BO13">
            <v>0</v>
          </cell>
          <cell r="BP13" t="str">
            <v>Pending</v>
          </cell>
          <cell r="BQ13">
            <v>0</v>
          </cell>
          <cell r="BR13">
            <v>0</v>
          </cell>
          <cell r="BS13" t="str">
            <v>Pending</v>
          </cell>
          <cell r="BT13">
            <v>0</v>
          </cell>
          <cell r="BU13">
            <v>0</v>
          </cell>
          <cell r="BV13" t="str">
            <v>Pending</v>
          </cell>
          <cell r="BW13">
            <v>0</v>
          </cell>
          <cell r="BX13">
            <v>0</v>
          </cell>
          <cell r="BY13" t="str">
            <v>Pending</v>
          </cell>
          <cell r="BZ13">
            <v>0</v>
          </cell>
          <cell r="CA13">
            <v>0</v>
          </cell>
          <cell r="CB13" t="str">
            <v>Pending</v>
          </cell>
          <cell r="CC13">
            <v>0</v>
          </cell>
          <cell r="CD13">
            <v>0</v>
          </cell>
          <cell r="CE13" t="str">
            <v>Pending</v>
          </cell>
          <cell r="CF13">
            <v>0</v>
          </cell>
          <cell r="CG13">
            <v>0</v>
          </cell>
          <cell r="CH13" t="str">
            <v>Pending</v>
          </cell>
          <cell r="CI13">
            <v>0</v>
          </cell>
        </row>
        <row r="14">
          <cell r="L14">
            <v>0</v>
          </cell>
          <cell r="M14">
            <v>0</v>
          </cell>
          <cell r="N14" t="str">
            <v>Pending</v>
          </cell>
          <cell r="O14">
            <v>0</v>
          </cell>
          <cell r="P14">
            <v>0</v>
          </cell>
          <cell r="Q14" t="str">
            <v>Pending</v>
          </cell>
          <cell r="R14">
            <v>0</v>
          </cell>
          <cell r="S14">
            <v>0</v>
          </cell>
          <cell r="T14" t="str">
            <v>Pending</v>
          </cell>
          <cell r="U14">
            <v>0</v>
          </cell>
          <cell r="V14">
            <v>0</v>
          </cell>
          <cell r="W14" t="str">
            <v>Pending</v>
          </cell>
          <cell r="X14">
            <v>0</v>
          </cell>
          <cell r="Y14">
            <v>0</v>
          </cell>
          <cell r="Z14" t="str">
            <v>Pending</v>
          </cell>
          <cell r="AA14">
            <v>0</v>
          </cell>
          <cell r="AB14">
            <v>0</v>
          </cell>
          <cell r="AC14" t="str">
            <v>Pending</v>
          </cell>
          <cell r="AD14">
            <v>0</v>
          </cell>
          <cell r="AE14">
            <v>0</v>
          </cell>
          <cell r="AF14" t="str">
            <v>Pending</v>
          </cell>
          <cell r="AG14">
            <v>0</v>
          </cell>
          <cell r="AH14">
            <v>0</v>
          </cell>
          <cell r="AI14" t="str">
            <v>Pending</v>
          </cell>
          <cell r="AJ14">
            <v>0</v>
          </cell>
          <cell r="AK14">
            <v>0</v>
          </cell>
          <cell r="AL14" t="str">
            <v>Pending</v>
          </cell>
          <cell r="AM14">
            <v>0</v>
          </cell>
          <cell r="AN14">
            <v>0</v>
          </cell>
          <cell r="AO14" t="str">
            <v>Pending</v>
          </cell>
          <cell r="AP14">
            <v>0</v>
          </cell>
          <cell r="AQ14">
            <v>0</v>
          </cell>
          <cell r="AR14" t="str">
            <v>Pending</v>
          </cell>
          <cell r="AS14">
            <v>0</v>
          </cell>
          <cell r="AT14">
            <v>0</v>
          </cell>
          <cell r="AU14" t="str">
            <v>Pending</v>
          </cell>
          <cell r="AV14">
            <v>0</v>
          </cell>
          <cell r="AW14">
            <v>0</v>
          </cell>
          <cell r="AX14" t="str">
            <v>Pending</v>
          </cell>
          <cell r="AY14">
            <v>0</v>
          </cell>
          <cell r="AZ14">
            <v>0</v>
          </cell>
          <cell r="BA14" t="str">
            <v>Pending</v>
          </cell>
          <cell r="BB14">
            <v>0</v>
          </cell>
          <cell r="BC14">
            <v>0</v>
          </cell>
          <cell r="BD14" t="str">
            <v>Pending</v>
          </cell>
          <cell r="BE14">
            <v>0</v>
          </cell>
          <cell r="BF14">
            <v>0</v>
          </cell>
          <cell r="BG14" t="str">
            <v>Pending</v>
          </cell>
          <cell r="BH14">
            <v>0</v>
          </cell>
          <cell r="BI14">
            <v>0</v>
          </cell>
          <cell r="BJ14" t="str">
            <v>Pending</v>
          </cell>
          <cell r="BK14">
            <v>0</v>
          </cell>
          <cell r="BL14">
            <v>0</v>
          </cell>
          <cell r="BM14" t="str">
            <v>Pending</v>
          </cell>
          <cell r="BN14">
            <v>0</v>
          </cell>
          <cell r="BO14">
            <v>0</v>
          </cell>
          <cell r="BP14" t="str">
            <v>Pending</v>
          </cell>
          <cell r="BQ14">
            <v>0</v>
          </cell>
          <cell r="BR14">
            <v>0</v>
          </cell>
          <cell r="BS14" t="str">
            <v>Pending</v>
          </cell>
          <cell r="BT14">
            <v>0</v>
          </cell>
          <cell r="BU14">
            <v>0</v>
          </cell>
          <cell r="BV14" t="str">
            <v>Pending</v>
          </cell>
          <cell r="BW14">
            <v>0</v>
          </cell>
          <cell r="BX14">
            <v>0</v>
          </cell>
          <cell r="BY14" t="str">
            <v>Pending</v>
          </cell>
          <cell r="BZ14">
            <v>0</v>
          </cell>
          <cell r="CA14">
            <v>0</v>
          </cell>
          <cell r="CB14" t="str">
            <v>Pending</v>
          </cell>
          <cell r="CC14">
            <v>0</v>
          </cell>
          <cell r="CD14">
            <v>0</v>
          </cell>
          <cell r="CE14" t="str">
            <v>Pending</v>
          </cell>
          <cell r="CF14">
            <v>0</v>
          </cell>
          <cell r="CG14">
            <v>0</v>
          </cell>
          <cell r="CH14" t="str">
            <v>Pending</v>
          </cell>
          <cell r="CI14">
            <v>0</v>
          </cell>
        </row>
        <row r="15">
          <cell r="L15">
            <v>0</v>
          </cell>
          <cell r="M15">
            <v>15</v>
          </cell>
          <cell r="N15" t="str">
            <v>Pending</v>
          </cell>
          <cell r="O15">
            <v>0</v>
          </cell>
          <cell r="P15">
            <v>15</v>
          </cell>
          <cell r="Q15" t="str">
            <v>Pending</v>
          </cell>
          <cell r="R15">
            <v>0</v>
          </cell>
          <cell r="S15">
            <v>15</v>
          </cell>
          <cell r="T15" t="str">
            <v>Pending</v>
          </cell>
          <cell r="U15">
            <v>0</v>
          </cell>
          <cell r="V15">
            <v>15</v>
          </cell>
          <cell r="W15" t="str">
            <v>Pending</v>
          </cell>
          <cell r="X15">
            <v>0</v>
          </cell>
          <cell r="Y15">
            <v>15</v>
          </cell>
          <cell r="Z15" t="str">
            <v>Pending</v>
          </cell>
          <cell r="AA15">
            <v>0</v>
          </cell>
          <cell r="AB15">
            <v>15</v>
          </cell>
          <cell r="AC15" t="str">
            <v>Pending</v>
          </cell>
          <cell r="AD15">
            <v>0</v>
          </cell>
          <cell r="AE15">
            <v>15</v>
          </cell>
          <cell r="AF15" t="str">
            <v>Pending</v>
          </cell>
          <cell r="AG15">
            <v>0</v>
          </cell>
          <cell r="AH15">
            <v>15</v>
          </cell>
          <cell r="AI15" t="str">
            <v>Pending</v>
          </cell>
          <cell r="AJ15">
            <v>0</v>
          </cell>
          <cell r="AK15">
            <v>15</v>
          </cell>
          <cell r="AL15" t="str">
            <v>Pending</v>
          </cell>
          <cell r="AM15">
            <v>0</v>
          </cell>
          <cell r="AN15">
            <v>15</v>
          </cell>
          <cell r="AO15" t="str">
            <v>Pending</v>
          </cell>
          <cell r="AP15">
            <v>0</v>
          </cell>
          <cell r="AQ15">
            <v>15</v>
          </cell>
          <cell r="AR15" t="str">
            <v>Pending</v>
          </cell>
          <cell r="AS15">
            <v>0</v>
          </cell>
          <cell r="AT15">
            <v>15</v>
          </cell>
          <cell r="AU15" t="str">
            <v>Pending</v>
          </cell>
          <cell r="AV15">
            <v>0</v>
          </cell>
          <cell r="AW15">
            <v>15</v>
          </cell>
          <cell r="AX15" t="str">
            <v>Pending</v>
          </cell>
          <cell r="AY15">
            <v>0</v>
          </cell>
          <cell r="AZ15">
            <v>15</v>
          </cell>
          <cell r="BA15" t="str">
            <v>Pending</v>
          </cell>
          <cell r="BB15">
            <v>0</v>
          </cell>
          <cell r="BC15">
            <v>15</v>
          </cell>
          <cell r="BD15" t="str">
            <v>Pending</v>
          </cell>
          <cell r="BE15">
            <v>0</v>
          </cell>
          <cell r="BF15">
            <v>15</v>
          </cell>
          <cell r="BG15" t="str">
            <v>Pending</v>
          </cell>
          <cell r="BH15">
            <v>0</v>
          </cell>
          <cell r="BI15">
            <v>15</v>
          </cell>
          <cell r="BJ15" t="str">
            <v>Pending</v>
          </cell>
          <cell r="BK15">
            <v>0</v>
          </cell>
          <cell r="BL15">
            <v>15</v>
          </cell>
          <cell r="BM15" t="str">
            <v>Pending</v>
          </cell>
          <cell r="BN15">
            <v>0</v>
          </cell>
          <cell r="BO15">
            <v>15</v>
          </cell>
          <cell r="BP15" t="str">
            <v>Pending</v>
          </cell>
          <cell r="BQ15">
            <v>0</v>
          </cell>
          <cell r="BR15">
            <v>15</v>
          </cell>
          <cell r="BS15" t="str">
            <v>Pending</v>
          </cell>
          <cell r="BT15">
            <v>0</v>
          </cell>
          <cell r="BU15">
            <v>15</v>
          </cell>
          <cell r="BV15" t="str">
            <v>Pending</v>
          </cell>
          <cell r="BW15">
            <v>0</v>
          </cell>
          <cell r="BX15">
            <v>15</v>
          </cell>
          <cell r="BY15" t="str">
            <v>Pending</v>
          </cell>
          <cell r="BZ15">
            <v>0</v>
          </cell>
          <cell r="CA15">
            <v>15</v>
          </cell>
          <cell r="CB15" t="str">
            <v>Pending</v>
          </cell>
          <cell r="CC15">
            <v>0</v>
          </cell>
          <cell r="CD15">
            <v>15</v>
          </cell>
          <cell r="CE15" t="str">
            <v>Pending</v>
          </cell>
          <cell r="CF15">
            <v>0</v>
          </cell>
          <cell r="CG15">
            <v>15</v>
          </cell>
          <cell r="CH15" t="str">
            <v>Pending</v>
          </cell>
          <cell r="CI15">
            <v>0</v>
          </cell>
        </row>
        <row r="16">
          <cell r="L16">
            <v>0</v>
          </cell>
          <cell r="M16">
            <v>90</v>
          </cell>
          <cell r="N16" t="str">
            <v>Pending</v>
          </cell>
          <cell r="O16">
            <v>0</v>
          </cell>
          <cell r="P16">
            <v>90</v>
          </cell>
          <cell r="Q16" t="str">
            <v>Pending</v>
          </cell>
          <cell r="R16">
            <v>0</v>
          </cell>
          <cell r="S16">
            <v>90</v>
          </cell>
          <cell r="T16" t="str">
            <v>Pending</v>
          </cell>
          <cell r="U16">
            <v>0</v>
          </cell>
          <cell r="V16">
            <v>90</v>
          </cell>
          <cell r="W16" t="str">
            <v>Pending</v>
          </cell>
          <cell r="X16">
            <v>0</v>
          </cell>
          <cell r="Y16">
            <v>90</v>
          </cell>
          <cell r="Z16" t="str">
            <v>Pending</v>
          </cell>
          <cell r="AA16">
            <v>0</v>
          </cell>
          <cell r="AB16">
            <v>90</v>
          </cell>
          <cell r="AC16" t="str">
            <v>Pending</v>
          </cell>
          <cell r="AD16">
            <v>0</v>
          </cell>
          <cell r="AE16">
            <v>90</v>
          </cell>
          <cell r="AF16" t="str">
            <v>Pending</v>
          </cell>
          <cell r="AG16">
            <v>0</v>
          </cell>
          <cell r="AH16">
            <v>90</v>
          </cell>
          <cell r="AI16" t="str">
            <v>Pending</v>
          </cell>
          <cell r="AJ16">
            <v>0</v>
          </cell>
          <cell r="AK16">
            <v>90</v>
          </cell>
          <cell r="AL16" t="str">
            <v>Pending</v>
          </cell>
          <cell r="AM16">
            <v>0</v>
          </cell>
          <cell r="AN16">
            <v>90</v>
          </cell>
          <cell r="AO16" t="str">
            <v>Pending</v>
          </cell>
          <cell r="AP16">
            <v>0</v>
          </cell>
          <cell r="AQ16">
            <v>90</v>
          </cell>
          <cell r="AR16" t="str">
            <v>Pending</v>
          </cell>
          <cell r="AS16">
            <v>0</v>
          </cell>
          <cell r="AT16">
            <v>90</v>
          </cell>
          <cell r="AU16" t="str">
            <v>Pending</v>
          </cell>
          <cell r="AV16">
            <v>0</v>
          </cell>
          <cell r="AW16">
            <v>90</v>
          </cell>
          <cell r="AX16" t="str">
            <v>Pending</v>
          </cell>
          <cell r="AY16">
            <v>0</v>
          </cell>
          <cell r="AZ16">
            <v>90</v>
          </cell>
          <cell r="BA16" t="str">
            <v>Pending</v>
          </cell>
          <cell r="BB16">
            <v>0</v>
          </cell>
          <cell r="BC16">
            <v>90</v>
          </cell>
          <cell r="BD16" t="str">
            <v>Pending</v>
          </cell>
          <cell r="BE16">
            <v>0</v>
          </cell>
          <cell r="BF16">
            <v>90</v>
          </cell>
          <cell r="BG16" t="str">
            <v>Pending</v>
          </cell>
          <cell r="BH16">
            <v>0</v>
          </cell>
          <cell r="BI16">
            <v>90</v>
          </cell>
          <cell r="BJ16" t="str">
            <v>Pending</v>
          </cell>
          <cell r="BK16">
            <v>0</v>
          </cell>
          <cell r="BL16">
            <v>90</v>
          </cell>
          <cell r="BM16" t="str">
            <v>Pending</v>
          </cell>
          <cell r="BN16">
            <v>0</v>
          </cell>
          <cell r="BO16">
            <v>90</v>
          </cell>
          <cell r="BP16" t="str">
            <v>Pending</v>
          </cell>
          <cell r="BQ16">
            <v>0</v>
          </cell>
          <cell r="BR16">
            <v>90</v>
          </cell>
          <cell r="BS16" t="str">
            <v>Pending</v>
          </cell>
          <cell r="BT16">
            <v>0</v>
          </cell>
          <cell r="BU16">
            <v>90</v>
          </cell>
          <cell r="BV16" t="str">
            <v>Pending</v>
          </cell>
          <cell r="BW16">
            <v>0</v>
          </cell>
          <cell r="BX16">
            <v>90</v>
          </cell>
          <cell r="BY16" t="str">
            <v>Pending</v>
          </cell>
          <cell r="BZ16">
            <v>0</v>
          </cell>
          <cell r="CA16">
            <v>90</v>
          </cell>
          <cell r="CB16" t="str">
            <v>Pending</v>
          </cell>
          <cell r="CC16">
            <v>0</v>
          </cell>
          <cell r="CD16">
            <v>90</v>
          </cell>
          <cell r="CE16" t="str">
            <v>Pending</v>
          </cell>
          <cell r="CF16">
            <v>0</v>
          </cell>
          <cell r="CG16">
            <v>90</v>
          </cell>
          <cell r="CH16" t="str">
            <v>Pending</v>
          </cell>
          <cell r="CI16">
            <v>0</v>
          </cell>
        </row>
        <row r="17">
          <cell r="L17">
            <v>25</v>
          </cell>
          <cell r="M17">
            <v>25</v>
          </cell>
          <cell r="N17" t="str">
            <v>In Progress</v>
          </cell>
          <cell r="O17">
            <v>5</v>
          </cell>
          <cell r="P17">
            <v>20</v>
          </cell>
          <cell r="Q17" t="str">
            <v>In Progress</v>
          </cell>
          <cell r="R17">
            <v>10</v>
          </cell>
          <cell r="S17">
            <v>10</v>
          </cell>
          <cell r="T17" t="str">
            <v>In Progress</v>
          </cell>
          <cell r="U17">
            <v>5</v>
          </cell>
          <cell r="V17">
            <v>5</v>
          </cell>
          <cell r="W17" t="str">
            <v>In Progress</v>
          </cell>
          <cell r="X17">
            <v>5</v>
          </cell>
          <cell r="Y17">
            <v>0</v>
          </cell>
          <cell r="Z17" t="str">
            <v>Complete</v>
          </cell>
          <cell r="AA17">
            <v>0</v>
          </cell>
          <cell r="AB17">
            <v>0</v>
          </cell>
          <cell r="AC17" t="str">
            <v>Complete</v>
          </cell>
          <cell r="AD17">
            <v>0</v>
          </cell>
          <cell r="AE17">
            <v>0</v>
          </cell>
          <cell r="AF17" t="str">
            <v>Complete</v>
          </cell>
          <cell r="AG17">
            <v>0</v>
          </cell>
          <cell r="AH17">
            <v>0</v>
          </cell>
          <cell r="AI17" t="str">
            <v>Complete</v>
          </cell>
          <cell r="AJ17">
            <v>0</v>
          </cell>
          <cell r="AK17">
            <v>0</v>
          </cell>
          <cell r="AL17" t="str">
            <v>Complete</v>
          </cell>
          <cell r="AM17">
            <v>0</v>
          </cell>
          <cell r="AN17">
            <v>0</v>
          </cell>
          <cell r="AO17" t="str">
            <v>Complete</v>
          </cell>
          <cell r="AP17">
            <v>0</v>
          </cell>
          <cell r="AQ17">
            <v>0</v>
          </cell>
          <cell r="AR17" t="str">
            <v>Complete</v>
          </cell>
          <cell r="AT17">
            <v>0</v>
          </cell>
          <cell r="AU17" t="str">
            <v>Complete</v>
          </cell>
          <cell r="AW17">
            <v>0</v>
          </cell>
          <cell r="AX17" t="str">
            <v>Complete</v>
          </cell>
          <cell r="AZ17">
            <v>0</v>
          </cell>
          <cell r="BA17" t="str">
            <v>Complete</v>
          </cell>
          <cell r="BB17">
            <v>0</v>
          </cell>
          <cell r="BC17">
            <v>0</v>
          </cell>
          <cell r="BD17" t="str">
            <v>Complete</v>
          </cell>
          <cell r="BE17">
            <v>0</v>
          </cell>
          <cell r="BF17">
            <v>0</v>
          </cell>
          <cell r="BG17" t="str">
            <v>Complete</v>
          </cell>
          <cell r="BH17">
            <v>0</v>
          </cell>
          <cell r="BI17">
            <v>0</v>
          </cell>
          <cell r="BJ17" t="str">
            <v>Complete</v>
          </cell>
          <cell r="BK17">
            <v>0</v>
          </cell>
          <cell r="BL17">
            <v>0</v>
          </cell>
          <cell r="BM17" t="str">
            <v>Complete</v>
          </cell>
          <cell r="BN17">
            <v>0</v>
          </cell>
          <cell r="BO17">
            <v>0</v>
          </cell>
          <cell r="BP17" t="str">
            <v>Complete</v>
          </cell>
          <cell r="BQ17">
            <v>0</v>
          </cell>
          <cell r="BR17">
            <v>0</v>
          </cell>
          <cell r="BS17" t="str">
            <v>Complete</v>
          </cell>
          <cell r="BT17">
            <v>0</v>
          </cell>
          <cell r="BU17">
            <v>0</v>
          </cell>
          <cell r="BV17" t="str">
            <v>Complete</v>
          </cell>
          <cell r="BW17">
            <v>0</v>
          </cell>
          <cell r="BX17">
            <v>0</v>
          </cell>
          <cell r="BY17" t="str">
            <v>Complete</v>
          </cell>
          <cell r="BZ17">
            <v>0</v>
          </cell>
          <cell r="CA17">
            <v>0</v>
          </cell>
          <cell r="CB17" t="str">
            <v>Complete</v>
          </cell>
          <cell r="CC17">
            <v>0</v>
          </cell>
          <cell r="CD17">
            <v>0</v>
          </cell>
          <cell r="CE17" t="str">
            <v>Complete</v>
          </cell>
          <cell r="CF17">
            <v>0</v>
          </cell>
          <cell r="CG17">
            <v>0</v>
          </cell>
          <cell r="CH17" t="str">
            <v>Complete</v>
          </cell>
          <cell r="CI17">
            <v>50</v>
          </cell>
        </row>
      </sheetData>
      <sheetData sheetId="3"/>
      <sheetData sheetId="4"/>
      <sheetData sheetId="5"/>
      <sheetData sheetId="6"/>
      <sheetData sheetId="7" refreshError="1"/>
      <sheetData sheetId="8" refreshError="1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LOV"/>
      <sheetName val="Dropdown Values"/>
    </sheetNames>
    <sheetDataSet>
      <sheetData sheetId="0"/>
      <sheetData sheetId="1"/>
      <sheetData sheetId="2">
        <row r="9">
          <cell r="G9" t="str">
            <v>Application Error</v>
          </cell>
        </row>
        <row r="10">
          <cell r="G10" t="str">
            <v>Code Not Modular</v>
          </cell>
        </row>
        <row r="11">
          <cell r="D11" t="str">
            <v>Delayed Clarification</v>
          </cell>
          <cell r="G11" t="str">
            <v>Compilation Errors</v>
          </cell>
        </row>
        <row r="12">
          <cell r="D12" t="str">
            <v>Environment Issue</v>
          </cell>
          <cell r="G12" t="str">
            <v>Deviation From Coding Standards</v>
          </cell>
        </row>
        <row r="13">
          <cell r="D13" t="str">
            <v>Frequent Requirement Change</v>
          </cell>
          <cell r="G13" t="str">
            <v>Deviation From Design Standards</v>
          </cell>
        </row>
        <row r="14">
          <cell r="D14" t="str">
            <v>Improper communication</v>
          </cell>
          <cell r="G14" t="str">
            <v>Function Or File Too Long</v>
          </cell>
        </row>
        <row r="15">
          <cell r="D15" t="str">
            <v>Inadequate Documentation</v>
          </cell>
          <cell r="G15" t="str">
            <v>Inadequate Code Coverage</v>
          </cell>
        </row>
        <row r="16">
          <cell r="D16" t="str">
            <v>Inadequate Engineering Methodology</v>
          </cell>
          <cell r="G16" t="str">
            <v>Inadequate Requirement Coverage</v>
          </cell>
        </row>
        <row r="17">
          <cell r="D17" t="str">
            <v>Inadequate planning</v>
          </cell>
          <cell r="G17" t="str">
            <v>Incorrect Comments</v>
          </cell>
        </row>
        <row r="18">
          <cell r="D18" t="str">
            <v>Inadequate Process</v>
          </cell>
          <cell r="G18" t="str">
            <v>Incorrect Naming Conventions</v>
          </cell>
        </row>
        <row r="19">
          <cell r="D19" t="str">
            <v>Inadequate Review</v>
          </cell>
          <cell r="G19" t="str">
            <v>Incorrect Recursion</v>
          </cell>
        </row>
        <row r="20">
          <cell r="D20" t="str">
            <v>Inadequate Skill Level</v>
          </cell>
          <cell r="G20" t="str">
            <v>Interface Related Defects</v>
          </cell>
        </row>
        <row r="21">
          <cell r="D21" t="str">
            <v>Inadequate Standards</v>
          </cell>
          <cell r="G21" t="str">
            <v>Logical Flow Or Sequencing Defect</v>
          </cell>
        </row>
        <row r="22">
          <cell r="D22" t="str">
            <v>Inadequate Tool</v>
          </cell>
          <cell r="G22" t="str">
            <v>Memory Leakages Or Handling</v>
          </cell>
        </row>
        <row r="23">
          <cell r="D23" t="str">
            <v>Inadequate Training or Education or Awareness</v>
          </cell>
          <cell r="G23" t="str">
            <v>Missing Comments</v>
          </cell>
        </row>
        <row r="24">
          <cell r="D24" t="str">
            <v>Insufficient Testing</v>
          </cell>
          <cell r="G24" t="str">
            <v>Redundant Information</v>
          </cell>
        </row>
        <row r="25">
          <cell r="G25" t="str">
            <v>Too Many Global Variables</v>
          </cell>
        </row>
        <row r="26">
          <cell r="G26" t="str">
            <v>Too Many Local Variables</v>
          </cell>
        </row>
        <row r="27">
          <cell r="G27" t="str">
            <v>UI Related Defect</v>
          </cell>
        </row>
        <row r="31">
          <cell r="I31" t="str">
            <v>Integration Testing</v>
          </cell>
        </row>
        <row r="32">
          <cell r="I32" t="str">
            <v>Coding</v>
          </cell>
        </row>
        <row r="33">
          <cell r="I33" t="str">
            <v>Unit Testing</v>
          </cell>
        </row>
        <row r="34">
          <cell r="I34" t="str">
            <v>Regression Testing</v>
          </cell>
        </row>
        <row r="35">
          <cell r="I35" t="str">
            <v>System Testing</v>
          </cell>
        </row>
        <row r="36">
          <cell r="I36" t="str">
            <v>Design</v>
          </cell>
        </row>
        <row r="37">
          <cell r="I37" t="str">
            <v>Project Planning</v>
          </cell>
        </row>
        <row r="38">
          <cell r="I38" t="str">
            <v>Testing</v>
          </cell>
        </row>
        <row r="39">
          <cell r="I39" t="str">
            <v>Project Administrative Activities</v>
          </cell>
        </row>
        <row r="40">
          <cell r="I40" t="str">
            <v>Requirement Analysis</v>
          </cell>
        </row>
        <row r="41">
          <cell r="I41" t="str">
            <v>Test Planning</v>
          </cell>
        </row>
        <row r="42">
          <cell r="I42" t="str">
            <v>Acceptance Testing</v>
          </cell>
        </row>
        <row r="43">
          <cell r="I43" t="str">
            <v>Construction</v>
          </cell>
        </row>
        <row r="44">
          <cell r="I44" t="str">
            <v>Conversion</v>
          </cell>
        </row>
        <row r="45">
          <cell r="I45" t="str">
            <v>Conversion Preparation and Detailing</v>
          </cell>
        </row>
        <row r="46">
          <cell r="I46" t="str">
            <v>Conversion Strategy Analysis</v>
          </cell>
        </row>
        <row r="47">
          <cell r="I47" t="str">
            <v>High Level Design</v>
          </cell>
        </row>
        <row r="48">
          <cell r="I48" t="str">
            <v>Knowledge Gathering</v>
          </cell>
        </row>
        <row r="49">
          <cell r="I49" t="str">
            <v>Knowledge Transfer and Set up</v>
          </cell>
        </row>
        <row r="50">
          <cell r="I50" t="str">
            <v>Low Level Design</v>
          </cell>
        </row>
        <row r="51">
          <cell r="I51" t="str">
            <v>Package and Release</v>
          </cell>
        </row>
        <row r="52">
          <cell r="I52" t="str">
            <v>Pilot Conversion</v>
          </cell>
        </row>
        <row r="53">
          <cell r="I53" t="str">
            <v>Project Management Quality</v>
          </cell>
        </row>
        <row r="54">
          <cell r="I54" t="str">
            <v>Start Up</v>
          </cell>
        </row>
        <row r="55">
          <cell r="I55" t="str">
            <v>System and Requirement Study</v>
          </cell>
        </row>
        <row r="56">
          <cell r="I56" t="str">
            <v>Test Execution and Defect Management</v>
          </cell>
        </row>
        <row r="57">
          <cell r="I57" t="str">
            <v>Project Mobilisation Phase</v>
          </cell>
        </row>
        <row r="58">
          <cell r="I58" t="str">
            <v>Project Preparation Phase</v>
          </cell>
        </row>
        <row r="59">
          <cell r="I59" t="str">
            <v>Business Blueprint</v>
          </cell>
        </row>
        <row r="60">
          <cell r="I60" t="str">
            <v>Realisation</v>
          </cell>
        </row>
        <row r="61">
          <cell r="I61" t="str">
            <v>Preparation for Go Live</v>
          </cell>
        </row>
        <row r="62">
          <cell r="I62" t="str">
            <v>Go Live and Support</v>
          </cell>
        </row>
        <row r="63">
          <cell r="I63" t="str">
            <v>Wind Up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10"/>
  <sheetViews>
    <sheetView workbookViewId="0">
      <selection activeCell="B4" sqref="B4"/>
    </sheetView>
  </sheetViews>
  <sheetFormatPr defaultRowHeight="12.75" x14ac:dyDescent="0.2"/>
  <cols>
    <col min="1" max="1" width="26" style="2" customWidth="1"/>
    <col min="2" max="2" width="30.85546875" style="2" customWidth="1"/>
    <col min="3" max="3" width="17.42578125" style="2" customWidth="1"/>
    <col min="4" max="4" width="21.7109375" style="2" customWidth="1"/>
    <col min="5" max="5" width="34.85546875" style="2" customWidth="1"/>
    <col min="6" max="6" width="24.28515625" style="2" customWidth="1"/>
    <col min="7" max="16384" width="9.140625" style="2"/>
  </cols>
  <sheetData>
    <row r="1" spans="1:7" ht="25.5" x14ac:dyDescent="0.2">
      <c r="A1" s="65" t="s">
        <v>116</v>
      </c>
      <c r="B1" s="65"/>
      <c r="C1" s="65"/>
      <c r="D1" s="65"/>
      <c r="E1" s="65"/>
      <c r="F1" s="65"/>
      <c r="G1" s="1"/>
    </row>
    <row r="2" spans="1:7" ht="25.5" x14ac:dyDescent="0.2">
      <c r="A2" s="4" t="s">
        <v>0</v>
      </c>
      <c r="B2" s="3"/>
      <c r="C2" s="4" t="s">
        <v>1</v>
      </c>
      <c r="D2" s="3"/>
      <c r="E2" s="4" t="s">
        <v>2</v>
      </c>
      <c r="F2" s="3"/>
      <c r="G2" s="1"/>
    </row>
    <row r="3" spans="1:7" ht="25.5" x14ac:dyDescent="0.2">
      <c r="A3" s="4" t="s">
        <v>3</v>
      </c>
      <c r="B3" s="3" t="s">
        <v>280</v>
      </c>
      <c r="C3" s="5" t="s">
        <v>4</v>
      </c>
      <c r="D3" s="3"/>
      <c r="E3" s="4" t="s">
        <v>6</v>
      </c>
      <c r="F3" s="3"/>
      <c r="G3" s="1"/>
    </row>
    <row r="4" spans="1:7" x14ac:dyDescent="0.2">
      <c r="A4" s="4" t="s">
        <v>7</v>
      </c>
      <c r="B4" s="9" t="s">
        <v>279</v>
      </c>
      <c r="C4" s="4" t="s">
        <v>8</v>
      </c>
      <c r="D4" s="7" t="s">
        <v>5</v>
      </c>
      <c r="E4" s="4" t="s">
        <v>9</v>
      </c>
      <c r="F4" s="3"/>
      <c r="G4" s="1"/>
    </row>
    <row r="5" spans="1:7" ht="25.5" x14ac:dyDescent="0.2">
      <c r="A5" s="5" t="s">
        <v>10</v>
      </c>
      <c r="B5" s="57"/>
      <c r="C5" s="5" t="s">
        <v>11</v>
      </c>
      <c r="D5" s="3"/>
      <c r="E5" s="4" t="s">
        <v>12</v>
      </c>
      <c r="F5" s="3"/>
      <c r="G5" s="1"/>
    </row>
    <row r="6" spans="1:7" ht="25.5" x14ac:dyDescent="0.2">
      <c r="A6" s="5" t="s">
        <v>13</v>
      </c>
      <c r="B6" s="3"/>
      <c r="C6" s="5" t="s">
        <v>14</v>
      </c>
      <c r="D6" s="3"/>
      <c r="E6" s="4" t="s">
        <v>15</v>
      </c>
      <c r="F6" s="3"/>
      <c r="G6" s="1"/>
    </row>
    <row r="7" spans="1:7" x14ac:dyDescent="0.2">
      <c r="A7" s="4" t="s">
        <v>16</v>
      </c>
      <c r="B7" s="3"/>
      <c r="C7" s="5" t="s">
        <v>17</v>
      </c>
      <c r="D7" s="3"/>
      <c r="E7" s="4" t="s">
        <v>18</v>
      </c>
      <c r="F7" s="3"/>
      <c r="G7" s="1"/>
    </row>
    <row r="8" spans="1:7" x14ac:dyDescent="0.2">
      <c r="A8" s="5" t="s">
        <v>19</v>
      </c>
      <c r="B8" s="3"/>
      <c r="C8" s="4" t="s">
        <v>20</v>
      </c>
      <c r="D8" s="3"/>
      <c r="E8" s="5" t="s">
        <v>21</v>
      </c>
      <c r="F8" s="3"/>
      <c r="G8" s="1"/>
    </row>
    <row r="9" spans="1:7" ht="25.5" x14ac:dyDescent="0.2">
      <c r="A9" s="4" t="s">
        <v>22</v>
      </c>
      <c r="B9" s="3"/>
      <c r="C9" s="5" t="s">
        <v>23</v>
      </c>
      <c r="D9" s="3"/>
      <c r="E9" s="6"/>
      <c r="F9" s="3"/>
      <c r="G9" s="1"/>
    </row>
    <row r="10" spans="1:7" ht="25.5" x14ac:dyDescent="0.2">
      <c r="A10" s="4" t="s">
        <v>24</v>
      </c>
      <c r="B10" s="8">
        <v>43282</v>
      </c>
      <c r="C10" s="5" t="s">
        <v>25</v>
      </c>
      <c r="D10" s="3"/>
      <c r="E10" s="6"/>
      <c r="F10" s="3"/>
      <c r="G10" s="1"/>
    </row>
  </sheetData>
  <mergeCells count="1">
    <mergeCell ref="A1:F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B1:D50"/>
  <sheetViews>
    <sheetView zoomScale="80" zoomScaleNormal="80" workbookViewId="0">
      <pane xSplit="10" ySplit="6" topLeftCell="ANK31" activePane="bottomRight" state="frozen"/>
      <selection pane="topRight" activeCell="K1" sqref="K1"/>
      <selection pane="bottomLeft" activeCell="A7" sqref="A7"/>
      <selection pane="bottomRight" activeCell="C37" sqref="C37"/>
    </sheetView>
  </sheetViews>
  <sheetFormatPr defaultRowHeight="15" x14ac:dyDescent="0.25"/>
  <cols>
    <col min="1" max="1" width="20.28515625" style="52" customWidth="1"/>
    <col min="2" max="2" width="16.5703125" style="52" customWidth="1"/>
    <col min="3" max="3" width="47.140625" style="52" bestFit="1" customWidth="1"/>
    <col min="4" max="4" width="18.5703125" style="52" customWidth="1"/>
    <col min="5" max="5" width="15.140625" style="52" customWidth="1"/>
    <col min="6" max="6" width="10.140625" style="52" customWidth="1"/>
    <col min="7" max="9" width="9.140625" style="52"/>
    <col min="10" max="10" width="25" style="52" customWidth="1"/>
    <col min="11" max="16384" width="9.140625" style="52"/>
  </cols>
  <sheetData>
    <row r="1" spans="2:4" ht="52.5" customHeight="1" x14ac:dyDescent="0.25"/>
    <row r="3" spans="2:4" ht="15.75" thickBot="1" x14ac:dyDescent="0.3"/>
    <row r="4" spans="2:4" ht="15.75" thickBot="1" x14ac:dyDescent="0.3">
      <c r="C4" s="51" t="s">
        <v>263</v>
      </c>
    </row>
    <row r="6" spans="2:4" ht="38.25" x14ac:dyDescent="0.25">
      <c r="B6" s="66" t="s">
        <v>264</v>
      </c>
      <c r="C6" s="66"/>
      <c r="D6" s="56" t="s">
        <v>247</v>
      </c>
    </row>
    <row r="7" spans="2:4" x14ac:dyDescent="0.25">
      <c r="B7" s="67" t="s">
        <v>260</v>
      </c>
      <c r="C7" s="49" t="s">
        <v>72</v>
      </c>
      <c r="D7" s="50"/>
    </row>
    <row r="8" spans="2:4" x14ac:dyDescent="0.25">
      <c r="B8" s="67"/>
      <c r="C8" s="49" t="s">
        <v>73</v>
      </c>
      <c r="D8" s="50"/>
    </row>
    <row r="9" spans="2:4" x14ac:dyDescent="0.25">
      <c r="B9" s="67"/>
      <c r="C9" s="49" t="s">
        <v>75</v>
      </c>
      <c r="D9" s="50"/>
    </row>
    <row r="10" spans="2:4" x14ac:dyDescent="0.25">
      <c r="B10" s="67"/>
      <c r="C10" s="49" t="s">
        <v>76</v>
      </c>
      <c r="D10" s="50"/>
    </row>
    <row r="11" spans="2:4" x14ac:dyDescent="0.25">
      <c r="B11" s="67"/>
      <c r="C11" s="49" t="s">
        <v>77</v>
      </c>
      <c r="D11" s="50"/>
    </row>
    <row r="12" spans="2:4" x14ac:dyDescent="0.25">
      <c r="B12" s="67"/>
      <c r="C12" s="49" t="s">
        <v>78</v>
      </c>
      <c r="D12" s="50"/>
    </row>
    <row r="13" spans="2:4" x14ac:dyDescent="0.25">
      <c r="B13" s="67"/>
      <c r="C13" s="49" t="s">
        <v>80</v>
      </c>
      <c r="D13" s="50"/>
    </row>
    <row r="14" spans="2:4" x14ac:dyDescent="0.25">
      <c r="B14" s="67"/>
      <c r="C14" s="49" t="s">
        <v>81</v>
      </c>
      <c r="D14" s="50"/>
    </row>
    <row r="15" spans="2:4" x14ac:dyDescent="0.25">
      <c r="B15" s="67"/>
      <c r="C15" s="49" t="s">
        <v>82</v>
      </c>
      <c r="D15" s="50"/>
    </row>
    <row r="16" spans="2:4" x14ac:dyDescent="0.25">
      <c r="B16" s="67"/>
      <c r="C16" s="49" t="s">
        <v>83</v>
      </c>
      <c r="D16" s="50"/>
    </row>
    <row r="17" spans="2:4" x14ac:dyDescent="0.25">
      <c r="B17" s="67"/>
      <c r="C17" s="49" t="s">
        <v>86</v>
      </c>
      <c r="D17" s="50"/>
    </row>
    <row r="18" spans="2:4" x14ac:dyDescent="0.25">
      <c r="B18" s="67"/>
      <c r="C18" s="49" t="s">
        <v>88</v>
      </c>
      <c r="D18" s="50"/>
    </row>
    <row r="19" spans="2:4" x14ac:dyDescent="0.25">
      <c r="B19" s="67"/>
      <c r="C19" s="49" t="s">
        <v>89</v>
      </c>
      <c r="D19" s="50"/>
    </row>
    <row r="20" spans="2:4" x14ac:dyDescent="0.25">
      <c r="B20" s="67"/>
      <c r="C20" s="49" t="s">
        <v>90</v>
      </c>
      <c r="D20" s="50"/>
    </row>
    <row r="21" spans="2:4" x14ac:dyDescent="0.25">
      <c r="B21" s="67"/>
      <c r="C21" s="49" t="s">
        <v>92</v>
      </c>
      <c r="D21" s="50"/>
    </row>
    <row r="22" spans="2:4" x14ac:dyDescent="0.25">
      <c r="B22" s="67"/>
      <c r="C22" s="49" t="s">
        <v>94</v>
      </c>
      <c r="D22" s="50"/>
    </row>
    <row r="23" spans="2:4" x14ac:dyDescent="0.25">
      <c r="B23" s="67"/>
      <c r="C23" s="49" t="s">
        <v>109</v>
      </c>
      <c r="D23" s="50"/>
    </row>
    <row r="24" spans="2:4" x14ac:dyDescent="0.25">
      <c r="B24" s="67"/>
      <c r="C24" s="49" t="s">
        <v>95</v>
      </c>
      <c r="D24" s="50"/>
    </row>
    <row r="25" spans="2:4" x14ac:dyDescent="0.25">
      <c r="B25" s="67"/>
      <c r="C25" s="49" t="s">
        <v>96</v>
      </c>
      <c r="D25" s="50"/>
    </row>
    <row r="26" spans="2:4" x14ac:dyDescent="0.25">
      <c r="B26" s="68" t="s">
        <v>261</v>
      </c>
      <c r="C26" s="49" t="s">
        <v>97</v>
      </c>
      <c r="D26" s="50"/>
    </row>
    <row r="27" spans="2:4" x14ac:dyDescent="0.25">
      <c r="B27" s="68"/>
      <c r="C27" s="49" t="s">
        <v>98</v>
      </c>
      <c r="D27" s="50"/>
    </row>
    <row r="28" spans="2:4" x14ac:dyDescent="0.25">
      <c r="B28" s="68"/>
      <c r="C28" s="49" t="s">
        <v>99</v>
      </c>
      <c r="D28" s="50"/>
    </row>
    <row r="29" spans="2:4" x14ac:dyDescent="0.25">
      <c r="B29" s="68"/>
      <c r="C29" s="49" t="s">
        <v>100</v>
      </c>
      <c r="D29" s="50"/>
    </row>
    <row r="30" spans="2:4" x14ac:dyDescent="0.25">
      <c r="B30" s="68"/>
      <c r="C30" s="49" t="s">
        <v>101</v>
      </c>
      <c r="D30" s="50"/>
    </row>
    <row r="31" spans="2:4" x14ac:dyDescent="0.25">
      <c r="B31" s="68"/>
      <c r="C31" s="49" t="s">
        <v>102</v>
      </c>
      <c r="D31" s="50"/>
    </row>
    <row r="32" spans="2:4" x14ac:dyDescent="0.25">
      <c r="B32" s="68"/>
      <c r="C32" s="49" t="s">
        <v>103</v>
      </c>
      <c r="D32" s="50"/>
    </row>
    <row r="33" spans="2:4" x14ac:dyDescent="0.25">
      <c r="B33" s="68"/>
      <c r="C33" s="49" t="s">
        <v>104</v>
      </c>
      <c r="D33" s="50"/>
    </row>
    <row r="34" spans="2:4" x14ac:dyDescent="0.25">
      <c r="B34" s="68"/>
      <c r="C34" s="49" t="s">
        <v>105</v>
      </c>
      <c r="D34" s="50"/>
    </row>
    <row r="35" spans="2:4" x14ac:dyDescent="0.25">
      <c r="B35" s="68"/>
      <c r="C35" s="49" t="s">
        <v>106</v>
      </c>
      <c r="D35" s="50"/>
    </row>
    <row r="36" spans="2:4" x14ac:dyDescent="0.25">
      <c r="B36" s="69" t="s">
        <v>262</v>
      </c>
      <c r="C36" s="49" t="s">
        <v>267</v>
      </c>
      <c r="D36" s="50" t="s">
        <v>175</v>
      </c>
    </row>
    <row r="37" spans="2:4" x14ac:dyDescent="0.25">
      <c r="B37" s="69"/>
      <c r="C37" s="49" t="s">
        <v>273</v>
      </c>
      <c r="D37" s="50" t="s">
        <v>175</v>
      </c>
    </row>
    <row r="38" spans="2:4" x14ac:dyDescent="0.25">
      <c r="B38" s="69"/>
      <c r="C38" s="49" t="s">
        <v>268</v>
      </c>
      <c r="D38" s="50" t="s">
        <v>175</v>
      </c>
    </row>
    <row r="39" spans="2:4" x14ac:dyDescent="0.25">
      <c r="B39" s="69"/>
      <c r="C39" s="49" t="s">
        <v>248</v>
      </c>
      <c r="D39" s="50"/>
    </row>
    <row r="40" spans="2:4" x14ac:dyDescent="0.25">
      <c r="B40" s="69"/>
      <c r="C40" s="49" t="s">
        <v>249</v>
      </c>
      <c r="D40" s="50"/>
    </row>
    <row r="41" spans="2:4" x14ac:dyDescent="0.25">
      <c r="B41" s="69"/>
      <c r="C41" s="49" t="s">
        <v>250</v>
      </c>
      <c r="D41" s="50"/>
    </row>
    <row r="42" spans="2:4" x14ac:dyDescent="0.25">
      <c r="B42" s="69"/>
      <c r="C42" s="49" t="s">
        <v>251</v>
      </c>
      <c r="D42" s="50"/>
    </row>
    <row r="43" spans="2:4" x14ac:dyDescent="0.25">
      <c r="B43" s="69"/>
      <c r="C43" s="49" t="s">
        <v>252</v>
      </c>
      <c r="D43" s="50"/>
    </row>
    <row r="44" spans="2:4" x14ac:dyDescent="0.25">
      <c r="B44" s="69"/>
      <c r="C44" s="49" t="s">
        <v>253</v>
      </c>
      <c r="D44" s="50"/>
    </row>
    <row r="45" spans="2:4" x14ac:dyDescent="0.25">
      <c r="B45" s="69"/>
      <c r="C45" s="49" t="s">
        <v>254</v>
      </c>
      <c r="D45" s="50"/>
    </row>
    <row r="46" spans="2:4" x14ac:dyDescent="0.25">
      <c r="B46" s="69"/>
      <c r="C46" s="49" t="s">
        <v>255</v>
      </c>
      <c r="D46" s="50"/>
    </row>
    <row r="47" spans="2:4" x14ac:dyDescent="0.25">
      <c r="B47" s="69"/>
      <c r="C47" s="49" t="s">
        <v>256</v>
      </c>
      <c r="D47" s="50"/>
    </row>
    <row r="48" spans="2:4" x14ac:dyDescent="0.25">
      <c r="B48" s="69"/>
      <c r="C48" s="49" t="s">
        <v>257</v>
      </c>
      <c r="D48" s="50"/>
    </row>
    <row r="49" spans="2:4" x14ac:dyDescent="0.25">
      <c r="B49" s="69"/>
      <c r="C49" s="49" t="s">
        <v>258</v>
      </c>
      <c r="D49" s="50"/>
    </row>
    <row r="50" spans="2:4" x14ac:dyDescent="0.25">
      <c r="B50" s="69"/>
      <c r="C50" s="49" t="s">
        <v>259</v>
      </c>
      <c r="D50" s="50"/>
    </row>
  </sheetData>
  <mergeCells count="4">
    <mergeCell ref="B6:C6"/>
    <mergeCell ref="B7:B25"/>
    <mergeCell ref="B26:B35"/>
    <mergeCell ref="B36:B50"/>
  </mergeCells>
  <conditionalFormatting sqref="D7:D50">
    <cfRule type="containsText" dxfId="28" priority="1" operator="containsText" text="No">
      <formula>NOT(ISERROR(SEARCH("No",D7)))</formula>
    </cfRule>
  </conditionalFormatting>
  <dataValidations count="2">
    <dataValidation type="list" allowBlank="1" showInputMessage="1" showErrorMessage="1" sqref="C4" xr:uid="{00000000-0002-0000-0100-000000000000}">
      <formula1>"Dev/Enhancement, SW_Maintenance, SW_Testing, SW_RegTesting, All Metrics"</formula1>
    </dataValidation>
    <dataValidation type="list" allowBlank="1" showInputMessage="1" showErrorMessage="1" sqref="D7:D50" xr:uid="{00000000-0002-0000-0100-000001000000}">
      <formula1>"Yes, No"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T78"/>
  <sheetViews>
    <sheetView tabSelected="1" workbookViewId="0">
      <pane xSplit="4" ySplit="4" topLeftCell="E11" activePane="bottomRight" state="frozen"/>
      <selection activeCell="B1" sqref="B1"/>
      <selection pane="topRight" activeCell="E1" sqref="E1"/>
      <selection pane="bottomLeft" activeCell="B5" sqref="B5"/>
      <selection pane="bottomRight" activeCell="D12" sqref="D12"/>
    </sheetView>
  </sheetViews>
  <sheetFormatPr defaultRowHeight="12.75" x14ac:dyDescent="0.2"/>
  <cols>
    <col min="1" max="1" width="3.42578125" style="15" hidden="1" customWidth="1"/>
    <col min="2" max="2" width="14.7109375" style="15" customWidth="1"/>
    <col min="3" max="3" width="11.28515625" style="15" customWidth="1"/>
    <col min="4" max="4" width="15.5703125" style="15" customWidth="1"/>
    <col min="5" max="6" width="18.5703125" style="16" hidden="1" customWidth="1"/>
    <col min="7" max="7" width="4.7109375" style="16" hidden="1" customWidth="1"/>
    <col min="8" max="8" width="13.85546875" style="16" hidden="1" customWidth="1"/>
    <col min="9" max="9" width="18.28515625" style="16" hidden="1" customWidth="1"/>
    <col min="10" max="10" width="21.140625" style="16" hidden="1" customWidth="1"/>
    <col min="11" max="11" width="4.7109375" style="16" hidden="1" customWidth="1"/>
    <col min="12" max="12" width="17.140625" style="16" hidden="1" customWidth="1"/>
    <col min="13" max="13" width="18.85546875" style="16" hidden="1" customWidth="1"/>
    <col min="14" max="14" width="27.140625" style="16" hidden="1" customWidth="1"/>
    <col min="15" max="15" width="4.7109375" style="16" hidden="1" customWidth="1"/>
    <col min="16" max="16" width="13.85546875" style="16" hidden="1" customWidth="1"/>
    <col min="17" max="17" width="4.7109375" style="16" hidden="1" customWidth="1"/>
    <col min="18" max="18" width="13.42578125" style="16" hidden="1" customWidth="1"/>
    <col min="19" max="19" width="15.7109375" style="16" hidden="1" customWidth="1"/>
    <col min="20" max="20" width="5.140625" style="16" hidden="1" customWidth="1"/>
    <col min="21" max="21" width="21.5703125" style="16" hidden="1" customWidth="1"/>
    <col min="22" max="23" width="21.42578125" style="16" hidden="1" customWidth="1"/>
    <col min="24" max="24" width="4.7109375" style="16" hidden="1" customWidth="1"/>
    <col min="25" max="25" width="17.140625" style="16" hidden="1" customWidth="1"/>
    <col min="26" max="26" width="18.85546875" style="16" hidden="1" customWidth="1"/>
    <col min="27" max="27" width="21.42578125" style="16" hidden="1" customWidth="1"/>
    <col min="28" max="28" width="4.7109375" style="16" hidden="1" customWidth="1"/>
    <col min="29" max="29" width="17.85546875" style="16" hidden="1" customWidth="1"/>
    <col min="30" max="30" width="23.140625" style="16" hidden="1" customWidth="1"/>
    <col min="31" max="31" width="6.140625" style="16" hidden="1" customWidth="1"/>
    <col min="32" max="32" width="4.7109375" style="16" hidden="1" customWidth="1"/>
    <col min="33" max="33" width="18" style="16" hidden="1" customWidth="1"/>
    <col min="34" max="34" width="23.140625" style="16" hidden="1" customWidth="1"/>
    <col min="35" max="35" width="10.7109375" style="16" hidden="1" customWidth="1"/>
    <col min="36" max="36" width="4.7109375" style="16" hidden="1" customWidth="1"/>
    <col min="37" max="37" width="13.85546875" style="16" hidden="1" customWidth="1"/>
    <col min="38" max="38" width="23.140625" style="16" hidden="1" customWidth="1"/>
    <col min="39" max="39" width="6.140625" style="16" hidden="1" customWidth="1"/>
    <col min="40" max="40" width="4.7109375" style="16" hidden="1" customWidth="1"/>
    <col min="41" max="41" width="18" style="16" hidden="1" customWidth="1"/>
    <col min="42" max="42" width="18.28515625" style="16" hidden="1" customWidth="1"/>
    <col min="43" max="43" width="23.7109375" style="16" hidden="1" customWidth="1"/>
    <col min="44" max="44" width="4.7109375" style="16" hidden="1" customWidth="1"/>
    <col min="45" max="45" width="13.7109375" style="16" hidden="1" customWidth="1"/>
    <col min="46" max="46" width="21.140625" style="16" hidden="1" customWidth="1"/>
    <col min="47" max="47" width="19.28515625" style="16" hidden="1" customWidth="1"/>
    <col min="48" max="48" width="4.7109375" style="16" hidden="1" customWidth="1"/>
    <col min="49" max="49" width="14.42578125" style="16" hidden="1" customWidth="1"/>
    <col min="50" max="50" width="19" style="16" hidden="1" customWidth="1"/>
    <col min="51" max="51" width="17.42578125" style="16" hidden="1" customWidth="1"/>
    <col min="52" max="52" width="4.7109375" style="16" hidden="1" customWidth="1"/>
    <col min="53" max="53" width="9.7109375" style="16" hidden="1" customWidth="1"/>
    <col min="54" max="54" width="21.85546875" style="16" hidden="1" customWidth="1"/>
    <col min="55" max="55" width="22.85546875" style="16" hidden="1" customWidth="1"/>
    <col min="56" max="56" width="5.42578125" style="16" hidden="1" customWidth="1"/>
    <col min="57" max="57" width="13.5703125" style="16" hidden="1" customWidth="1"/>
    <col min="58" max="58" width="11.140625" style="16" hidden="1" customWidth="1"/>
    <col min="59" max="59" width="15.5703125" style="16" hidden="1" customWidth="1"/>
    <col min="60" max="60" width="4.7109375" style="16" hidden="1" customWidth="1"/>
    <col min="61" max="61" width="10.5703125" style="16" hidden="1" customWidth="1"/>
    <col min="62" max="62" width="19.42578125" style="16" hidden="1" customWidth="1"/>
    <col min="63" max="63" width="17.42578125" style="16" hidden="1" customWidth="1"/>
    <col min="64" max="64" width="4.7109375" style="16" hidden="1" customWidth="1"/>
    <col min="65" max="65" width="12.140625" style="16" hidden="1" customWidth="1"/>
    <col min="66" max="66" width="9.28515625" style="15" hidden="1" customWidth="1"/>
    <col min="67" max="67" width="9.42578125" style="15" hidden="1" customWidth="1"/>
    <col min="68" max="68" width="4.7109375" style="15" hidden="1" customWidth="1"/>
    <col min="69" max="69" width="10.7109375" style="15" hidden="1" customWidth="1"/>
    <col min="70" max="70" width="21.42578125" style="16" hidden="1" customWidth="1"/>
    <col min="71" max="71" width="27.42578125" style="16" hidden="1" customWidth="1"/>
    <col min="72" max="72" width="4.7109375" style="16" hidden="1" customWidth="1"/>
    <col min="73" max="73" width="11.28515625" style="16" hidden="1" customWidth="1"/>
    <col min="74" max="75" width="22.7109375" style="16" hidden="1" customWidth="1"/>
    <col min="76" max="76" width="4.7109375" style="16" hidden="1" customWidth="1"/>
    <col min="77" max="77" width="9.7109375" style="16" hidden="1" customWidth="1"/>
    <col min="78" max="78" width="18" style="16" hidden="1" customWidth="1"/>
    <col min="79" max="79" width="4.7109375" style="16" hidden="1" customWidth="1"/>
    <col min="80" max="80" width="13.140625" style="16" hidden="1" customWidth="1"/>
    <col min="81" max="81" width="18" style="16" hidden="1" customWidth="1"/>
    <col min="82" max="82" width="4.7109375" style="16" hidden="1" customWidth="1"/>
    <col min="83" max="83" width="11.85546875" style="16" hidden="1" customWidth="1"/>
    <col min="84" max="84" width="21" style="16" hidden="1" customWidth="1"/>
    <col min="85" max="85" width="20" style="16" hidden="1" customWidth="1"/>
    <col min="86" max="86" width="4.7109375" style="16" hidden="1" customWidth="1"/>
    <col min="87" max="87" width="12.5703125" style="16" hidden="1" customWidth="1"/>
    <col min="88" max="88" width="13.42578125" style="16" hidden="1" customWidth="1"/>
    <col min="89" max="89" width="15.42578125" style="16" hidden="1" customWidth="1"/>
    <col min="90" max="90" width="4.7109375" style="16" hidden="1" customWidth="1"/>
    <col min="91" max="91" width="11.7109375" style="16" hidden="1" customWidth="1"/>
    <col min="92" max="92" width="13.85546875" style="16" hidden="1" customWidth="1"/>
    <col min="93" max="93" width="15.42578125" style="16" hidden="1" customWidth="1"/>
    <col min="94" max="94" width="4.7109375" style="16" hidden="1" customWidth="1"/>
    <col min="95" max="95" width="14.42578125" style="16" hidden="1" customWidth="1"/>
    <col min="96" max="96" width="15.7109375" style="16" hidden="1" customWidth="1"/>
    <col min="97" max="97" width="4.7109375" style="16" hidden="1" customWidth="1"/>
    <col min="98" max="98" width="10.85546875" style="16" hidden="1" customWidth="1"/>
    <col min="99" max="99" width="16.5703125" style="16" hidden="1" customWidth="1"/>
    <col min="100" max="100" width="15.5703125" style="16" hidden="1" customWidth="1"/>
    <col min="101" max="101" width="4.7109375" style="16" hidden="1" customWidth="1"/>
    <col min="102" max="102" width="12.28515625" style="16" hidden="1" customWidth="1"/>
    <col min="103" max="103" width="11.85546875" style="16" hidden="1" customWidth="1"/>
    <col min="104" max="104" width="16.42578125" style="16" hidden="1" customWidth="1"/>
    <col min="105" max="105" width="4.7109375" style="16" hidden="1" customWidth="1"/>
    <col min="106" max="106" width="13.42578125" style="16" hidden="1" customWidth="1"/>
    <col min="107" max="107" width="13.28515625" style="16" hidden="1" customWidth="1"/>
    <col min="108" max="108" width="4.7109375" style="16" hidden="1" customWidth="1"/>
    <col min="109" max="109" width="16.7109375" style="16" hidden="1" customWidth="1"/>
    <col min="110" max="110" width="11.42578125" style="16" hidden="1" customWidth="1"/>
    <col min="111" max="111" width="14.7109375" style="28" hidden="1" customWidth="1"/>
    <col min="112" max="112" width="4.7109375" style="16" hidden="1" customWidth="1"/>
    <col min="113" max="113" width="14.7109375" style="16" hidden="1" customWidth="1"/>
    <col min="114" max="114" width="11.85546875" style="16" customWidth="1"/>
    <col min="115" max="115" width="11.85546875" style="28" customWidth="1"/>
    <col min="116" max="116" width="8.140625" style="16" customWidth="1"/>
    <col min="117" max="117" width="10.42578125" style="16" customWidth="1"/>
    <col min="118" max="118" width="11.85546875" style="16" customWidth="1"/>
    <col min="119" max="119" width="11.85546875" style="28" customWidth="1"/>
    <col min="120" max="120" width="8.42578125" style="16" customWidth="1"/>
    <col min="121" max="121" width="10.42578125" style="16" customWidth="1"/>
    <col min="122" max="122" width="11.85546875" style="16" customWidth="1"/>
    <col min="123" max="123" width="11.85546875" style="28" customWidth="1"/>
    <col min="124" max="124" width="8.85546875" style="16" customWidth="1"/>
    <col min="125" max="125" width="10.42578125" style="16" customWidth="1"/>
    <col min="126" max="126" width="11.85546875" style="16" hidden="1" customWidth="1"/>
    <col min="127" max="127" width="11.85546875" style="28" hidden="1" customWidth="1"/>
    <col min="128" max="128" width="4.7109375" style="16" hidden="1" customWidth="1"/>
    <col min="129" max="129" width="10.42578125" style="16" hidden="1" customWidth="1"/>
    <col min="130" max="130" width="11.85546875" style="16" hidden="1" customWidth="1"/>
    <col min="131" max="131" width="11.85546875" style="28" hidden="1" customWidth="1"/>
    <col min="132" max="132" width="4.7109375" style="16" hidden="1" customWidth="1"/>
    <col min="133" max="133" width="10.42578125" style="16" hidden="1" customWidth="1"/>
    <col min="134" max="134" width="11.85546875" style="16" hidden="1" customWidth="1"/>
    <col min="135" max="135" width="11.85546875" style="28" hidden="1" customWidth="1"/>
    <col min="136" max="136" width="4.7109375" style="16" hidden="1" customWidth="1"/>
    <col min="137" max="137" width="10.42578125" style="16" hidden="1" customWidth="1"/>
    <col min="138" max="138" width="11.85546875" style="16" hidden="1" customWidth="1"/>
    <col min="139" max="139" width="11.85546875" style="28" hidden="1" customWidth="1"/>
    <col min="140" max="140" width="4.7109375" style="16" hidden="1" customWidth="1"/>
    <col min="141" max="141" width="10.42578125" style="16" hidden="1" customWidth="1"/>
    <col min="142" max="142" width="11.85546875" style="16" hidden="1" customWidth="1"/>
    <col min="143" max="143" width="11.85546875" style="28" hidden="1" customWidth="1"/>
    <col min="144" max="144" width="4.7109375" style="16" hidden="1" customWidth="1"/>
    <col min="145" max="145" width="10.42578125" style="16" hidden="1" customWidth="1"/>
    <col min="146" max="146" width="11.85546875" style="16" hidden="1" customWidth="1"/>
    <col min="147" max="147" width="11.85546875" style="28" hidden="1" customWidth="1"/>
    <col min="148" max="148" width="4.7109375" style="16" hidden="1" customWidth="1"/>
    <col min="149" max="149" width="10.42578125" style="16" hidden="1" customWidth="1"/>
    <col min="150" max="150" width="11.85546875" style="16" hidden="1" customWidth="1"/>
    <col min="151" max="151" width="11.85546875" style="28" hidden="1" customWidth="1"/>
    <col min="152" max="152" width="4.7109375" style="16" hidden="1" customWidth="1"/>
    <col min="153" max="153" width="10.42578125" style="16" hidden="1" customWidth="1"/>
    <col min="154" max="154" width="11.85546875" style="16" hidden="1" customWidth="1"/>
    <col min="155" max="155" width="11.85546875" style="28" hidden="1" customWidth="1"/>
    <col min="156" max="156" width="4.7109375" style="16" hidden="1" customWidth="1"/>
    <col min="157" max="157" width="10.42578125" style="16" hidden="1" customWidth="1"/>
    <col min="158" max="158" width="11.85546875" style="16" hidden="1" customWidth="1"/>
    <col min="159" max="159" width="11.85546875" style="28" hidden="1" customWidth="1"/>
    <col min="160" max="160" width="4.7109375" style="16" hidden="1" customWidth="1"/>
    <col min="161" max="161" width="10.42578125" style="16" hidden="1" customWidth="1"/>
    <col min="162" max="162" width="11.85546875" style="16" hidden="1" customWidth="1"/>
    <col min="163" max="163" width="11.85546875" style="28" hidden="1" customWidth="1"/>
    <col min="164" max="164" width="4.7109375" style="16" hidden="1" customWidth="1"/>
    <col min="165" max="165" width="5.85546875" style="16" hidden="1" customWidth="1"/>
    <col min="166" max="166" width="11.85546875" style="16" hidden="1" customWidth="1"/>
    <col min="167" max="167" width="11.85546875" style="28" hidden="1" customWidth="1"/>
    <col min="168" max="168" width="4.7109375" style="16" hidden="1" customWidth="1"/>
    <col min="169" max="169" width="10.42578125" style="16" hidden="1" customWidth="1"/>
    <col min="170" max="170" width="11.85546875" style="16" hidden="1" customWidth="1"/>
    <col min="171" max="171" width="11.85546875" style="28" hidden="1" customWidth="1"/>
    <col min="172" max="172" width="4.7109375" style="16" hidden="1" customWidth="1"/>
    <col min="173" max="173" width="10.42578125" style="16" hidden="1" customWidth="1"/>
    <col min="174" max="174" width="22.42578125" style="28" customWidth="1"/>
    <col min="175" max="175" width="25.85546875" style="28" customWidth="1"/>
    <col min="176" max="176" width="27.85546875" style="28" customWidth="1"/>
    <col min="177" max="295" width="9.140625" style="15"/>
    <col min="296" max="296" width="10" style="15" bestFit="1" customWidth="1"/>
    <col min="297" max="298" width="10" style="15" customWidth="1"/>
    <col min="299" max="299" width="10.28515625" style="15" customWidth="1"/>
    <col min="300" max="300" width="9.140625" style="15"/>
    <col min="301" max="301" width="11.5703125" style="15" customWidth="1"/>
    <col min="302" max="302" width="9.5703125" style="15" customWidth="1"/>
    <col min="303" max="303" width="8.28515625" style="15" bestFit="1" customWidth="1"/>
    <col min="304" max="304" width="13.7109375" style="15" customWidth="1"/>
    <col min="305" max="305" width="8.5703125" style="15" bestFit="1" customWidth="1"/>
    <col min="306" max="306" width="6.85546875" style="15" bestFit="1" customWidth="1"/>
    <col min="307" max="307" width="8.42578125" style="15" customWidth="1"/>
    <col min="308" max="308" width="10.28515625" style="15" customWidth="1"/>
    <col min="309" max="309" width="9" style="15" bestFit="1" customWidth="1"/>
    <col min="310" max="310" width="8.28515625" style="15" customWidth="1"/>
    <col min="311" max="311" width="7.7109375" style="15" customWidth="1"/>
    <col min="312" max="312" width="8.42578125" style="15" customWidth="1"/>
    <col min="313" max="313" width="14.28515625" style="15" customWidth="1"/>
    <col min="314" max="314" width="10.85546875" style="15" customWidth="1"/>
    <col min="315" max="315" width="7.5703125" style="15" customWidth="1"/>
    <col min="316" max="316" width="9" style="15" customWidth="1"/>
    <col min="317" max="317" width="11.140625" style="15" customWidth="1"/>
    <col min="318" max="318" width="9.42578125" style="15" customWidth="1"/>
    <col min="319" max="319" width="7.7109375" style="15" bestFit="1" customWidth="1"/>
    <col min="320" max="320" width="6.85546875" style="15" bestFit="1" customWidth="1"/>
    <col min="321" max="321" width="10.42578125" style="15" customWidth="1"/>
    <col min="322" max="322" width="10.85546875" style="15" customWidth="1"/>
    <col min="323" max="332" width="9.140625" style="15"/>
    <col min="333" max="333" width="21.28515625" style="15" customWidth="1"/>
    <col min="334" max="334" width="17" style="15" customWidth="1"/>
    <col min="335" max="551" width="9.140625" style="15"/>
    <col min="552" max="552" width="10" style="15" bestFit="1" customWidth="1"/>
    <col min="553" max="554" width="10" style="15" customWidth="1"/>
    <col min="555" max="555" width="10.28515625" style="15" customWidth="1"/>
    <col min="556" max="556" width="9.140625" style="15"/>
    <col min="557" max="557" width="11.5703125" style="15" customWidth="1"/>
    <col min="558" max="558" width="9.5703125" style="15" customWidth="1"/>
    <col min="559" max="559" width="8.28515625" style="15" bestFit="1" customWidth="1"/>
    <col min="560" max="560" width="13.7109375" style="15" customWidth="1"/>
    <col min="561" max="561" width="8.5703125" style="15" bestFit="1" customWidth="1"/>
    <col min="562" max="562" width="6.85546875" style="15" bestFit="1" customWidth="1"/>
    <col min="563" max="563" width="8.42578125" style="15" customWidth="1"/>
    <col min="564" max="564" width="10.28515625" style="15" customWidth="1"/>
    <col min="565" max="565" width="9" style="15" bestFit="1" customWidth="1"/>
    <col min="566" max="566" width="8.28515625" style="15" customWidth="1"/>
    <col min="567" max="567" width="7.7109375" style="15" customWidth="1"/>
    <col min="568" max="568" width="8.42578125" style="15" customWidth="1"/>
    <col min="569" max="569" width="14.28515625" style="15" customWidth="1"/>
    <col min="570" max="570" width="10.85546875" style="15" customWidth="1"/>
    <col min="571" max="571" width="7.5703125" style="15" customWidth="1"/>
    <col min="572" max="572" width="9" style="15" customWidth="1"/>
    <col min="573" max="573" width="11.140625" style="15" customWidth="1"/>
    <col min="574" max="574" width="9.42578125" style="15" customWidth="1"/>
    <col min="575" max="575" width="7.7109375" style="15" bestFit="1" customWidth="1"/>
    <col min="576" max="576" width="6.85546875" style="15" bestFit="1" customWidth="1"/>
    <col min="577" max="577" width="10.42578125" style="15" customWidth="1"/>
    <col min="578" max="578" width="10.85546875" style="15" customWidth="1"/>
    <col min="579" max="588" width="9.140625" style="15"/>
    <col min="589" max="589" width="21.28515625" style="15" customWidth="1"/>
    <col min="590" max="590" width="17" style="15" customWidth="1"/>
    <col min="591" max="807" width="9.140625" style="15"/>
    <col min="808" max="808" width="10" style="15" bestFit="1" customWidth="1"/>
    <col min="809" max="810" width="10" style="15" customWidth="1"/>
    <col min="811" max="811" width="10.28515625" style="15" customWidth="1"/>
    <col min="812" max="812" width="9.140625" style="15"/>
    <col min="813" max="813" width="11.5703125" style="15" customWidth="1"/>
    <col min="814" max="814" width="9.5703125" style="15" customWidth="1"/>
    <col min="815" max="815" width="8.28515625" style="15" bestFit="1" customWidth="1"/>
    <col min="816" max="816" width="13.7109375" style="15" customWidth="1"/>
    <col min="817" max="817" width="8.5703125" style="15" bestFit="1" customWidth="1"/>
    <col min="818" max="818" width="6.85546875" style="15" bestFit="1" customWidth="1"/>
    <col min="819" max="819" width="8.42578125" style="15" customWidth="1"/>
    <col min="820" max="820" width="10.28515625" style="15" customWidth="1"/>
    <col min="821" max="821" width="9" style="15" bestFit="1" customWidth="1"/>
    <col min="822" max="822" width="8.28515625" style="15" customWidth="1"/>
    <col min="823" max="823" width="7.7109375" style="15" customWidth="1"/>
    <col min="824" max="824" width="8.42578125" style="15" customWidth="1"/>
    <col min="825" max="825" width="14.28515625" style="15" customWidth="1"/>
    <col min="826" max="826" width="10.85546875" style="15" customWidth="1"/>
    <col min="827" max="827" width="7.5703125" style="15" customWidth="1"/>
    <col min="828" max="828" width="9" style="15" customWidth="1"/>
    <col min="829" max="829" width="11.140625" style="15" customWidth="1"/>
    <col min="830" max="830" width="9.42578125" style="15" customWidth="1"/>
    <col min="831" max="831" width="7.7109375" style="15" bestFit="1" customWidth="1"/>
    <col min="832" max="832" width="6.85546875" style="15" bestFit="1" customWidth="1"/>
    <col min="833" max="833" width="10.42578125" style="15" customWidth="1"/>
    <col min="834" max="834" width="10.85546875" style="15" customWidth="1"/>
    <col min="835" max="844" width="9.140625" style="15"/>
    <col min="845" max="845" width="21.28515625" style="15" customWidth="1"/>
    <col min="846" max="846" width="17" style="15" customWidth="1"/>
    <col min="847" max="1063" width="9.140625" style="15"/>
    <col min="1064" max="1064" width="10" style="15" bestFit="1" customWidth="1"/>
    <col min="1065" max="1066" width="10" style="15" customWidth="1"/>
    <col min="1067" max="1067" width="10.28515625" style="15" customWidth="1"/>
    <col min="1068" max="1068" width="9.140625" style="15"/>
    <col min="1069" max="1069" width="11.5703125" style="15" customWidth="1"/>
    <col min="1070" max="1070" width="9.5703125" style="15" customWidth="1"/>
    <col min="1071" max="1071" width="8.28515625" style="15" bestFit="1" customWidth="1"/>
    <col min="1072" max="1072" width="13.7109375" style="15" customWidth="1"/>
    <col min="1073" max="1073" width="8.5703125" style="15" bestFit="1" customWidth="1"/>
    <col min="1074" max="1074" width="6.85546875" style="15" bestFit="1" customWidth="1"/>
    <col min="1075" max="1075" width="8.42578125" style="15" customWidth="1"/>
    <col min="1076" max="1076" width="10.28515625" style="15" customWidth="1"/>
    <col min="1077" max="1077" width="9" style="15" bestFit="1" customWidth="1"/>
    <col min="1078" max="1078" width="8.28515625" style="15" customWidth="1"/>
    <col min="1079" max="1079" width="7.7109375" style="15" customWidth="1"/>
    <col min="1080" max="1080" width="8.42578125" style="15" customWidth="1"/>
    <col min="1081" max="1081" width="14.28515625" style="15" customWidth="1"/>
    <col min="1082" max="1082" width="10.85546875" style="15" customWidth="1"/>
    <col min="1083" max="1083" width="7.5703125" style="15" customWidth="1"/>
    <col min="1084" max="1084" width="9" style="15" customWidth="1"/>
    <col min="1085" max="1085" width="11.140625" style="15" customWidth="1"/>
    <col min="1086" max="1086" width="9.42578125" style="15" customWidth="1"/>
    <col min="1087" max="1087" width="7.7109375" style="15" bestFit="1" customWidth="1"/>
    <col min="1088" max="1088" width="6.85546875" style="15" bestFit="1" customWidth="1"/>
    <col min="1089" max="1089" width="10.42578125" style="15" customWidth="1"/>
    <col min="1090" max="1090" width="10.85546875" style="15" customWidth="1"/>
    <col min="1091" max="1100" width="9.140625" style="15"/>
    <col min="1101" max="1101" width="21.28515625" style="15" customWidth="1"/>
    <col min="1102" max="1102" width="17" style="15" customWidth="1"/>
    <col min="1103" max="1319" width="9.140625" style="15"/>
    <col min="1320" max="1320" width="10" style="15" bestFit="1" customWidth="1"/>
    <col min="1321" max="1322" width="10" style="15" customWidth="1"/>
    <col min="1323" max="1323" width="10.28515625" style="15" customWidth="1"/>
    <col min="1324" max="1324" width="9.140625" style="15"/>
    <col min="1325" max="1325" width="11.5703125" style="15" customWidth="1"/>
    <col min="1326" max="1326" width="9.5703125" style="15" customWidth="1"/>
    <col min="1327" max="1327" width="8.28515625" style="15" bestFit="1" customWidth="1"/>
    <col min="1328" max="1328" width="13.7109375" style="15" customWidth="1"/>
    <col min="1329" max="1329" width="8.5703125" style="15" bestFit="1" customWidth="1"/>
    <col min="1330" max="1330" width="6.85546875" style="15" bestFit="1" customWidth="1"/>
    <col min="1331" max="1331" width="8.42578125" style="15" customWidth="1"/>
    <col min="1332" max="1332" width="10.28515625" style="15" customWidth="1"/>
    <col min="1333" max="1333" width="9" style="15" bestFit="1" customWidth="1"/>
    <col min="1334" max="1334" width="8.28515625" style="15" customWidth="1"/>
    <col min="1335" max="1335" width="7.7109375" style="15" customWidth="1"/>
    <col min="1336" max="1336" width="8.42578125" style="15" customWidth="1"/>
    <col min="1337" max="1337" width="14.28515625" style="15" customWidth="1"/>
    <col min="1338" max="1338" width="10.85546875" style="15" customWidth="1"/>
    <col min="1339" max="1339" width="7.5703125" style="15" customWidth="1"/>
    <col min="1340" max="1340" width="9" style="15" customWidth="1"/>
    <col min="1341" max="1341" width="11.140625" style="15" customWidth="1"/>
    <col min="1342" max="1342" width="9.42578125" style="15" customWidth="1"/>
    <col min="1343" max="1343" width="7.7109375" style="15" bestFit="1" customWidth="1"/>
    <col min="1344" max="1344" width="6.85546875" style="15" bestFit="1" customWidth="1"/>
    <col min="1345" max="1345" width="10.42578125" style="15" customWidth="1"/>
    <col min="1346" max="1346" width="10.85546875" style="15" customWidth="1"/>
    <col min="1347" max="1356" width="9.140625" style="15"/>
    <col min="1357" max="1357" width="21.28515625" style="15" customWidth="1"/>
    <col min="1358" max="1358" width="17" style="15" customWidth="1"/>
    <col min="1359" max="1575" width="9.140625" style="15"/>
    <col min="1576" max="1576" width="10" style="15" bestFit="1" customWidth="1"/>
    <col min="1577" max="1578" width="10" style="15" customWidth="1"/>
    <col min="1579" max="1579" width="10.28515625" style="15" customWidth="1"/>
    <col min="1580" max="1580" width="9.140625" style="15"/>
    <col min="1581" max="1581" width="11.5703125" style="15" customWidth="1"/>
    <col min="1582" max="1582" width="9.5703125" style="15" customWidth="1"/>
    <col min="1583" max="1583" width="8.28515625" style="15" bestFit="1" customWidth="1"/>
    <col min="1584" max="1584" width="13.7109375" style="15" customWidth="1"/>
    <col min="1585" max="1585" width="8.5703125" style="15" bestFit="1" customWidth="1"/>
    <col min="1586" max="1586" width="6.85546875" style="15" bestFit="1" customWidth="1"/>
    <col min="1587" max="1587" width="8.42578125" style="15" customWidth="1"/>
    <col min="1588" max="1588" width="10.28515625" style="15" customWidth="1"/>
    <col min="1589" max="1589" width="9" style="15" bestFit="1" customWidth="1"/>
    <col min="1590" max="1590" width="8.28515625" style="15" customWidth="1"/>
    <col min="1591" max="1591" width="7.7109375" style="15" customWidth="1"/>
    <col min="1592" max="1592" width="8.42578125" style="15" customWidth="1"/>
    <col min="1593" max="1593" width="14.28515625" style="15" customWidth="1"/>
    <col min="1594" max="1594" width="10.85546875" style="15" customWidth="1"/>
    <col min="1595" max="1595" width="7.5703125" style="15" customWidth="1"/>
    <col min="1596" max="1596" width="9" style="15" customWidth="1"/>
    <col min="1597" max="1597" width="11.140625" style="15" customWidth="1"/>
    <col min="1598" max="1598" width="9.42578125" style="15" customWidth="1"/>
    <col min="1599" max="1599" width="7.7109375" style="15" bestFit="1" customWidth="1"/>
    <col min="1600" max="1600" width="6.85546875" style="15" bestFit="1" customWidth="1"/>
    <col min="1601" max="1601" width="10.42578125" style="15" customWidth="1"/>
    <col min="1602" max="1602" width="10.85546875" style="15" customWidth="1"/>
    <col min="1603" max="1612" width="9.140625" style="15"/>
    <col min="1613" max="1613" width="21.28515625" style="15" customWidth="1"/>
    <col min="1614" max="1614" width="17" style="15" customWidth="1"/>
    <col min="1615" max="1831" width="9.140625" style="15"/>
    <col min="1832" max="1832" width="10" style="15" bestFit="1" customWidth="1"/>
    <col min="1833" max="1834" width="10" style="15" customWidth="1"/>
    <col min="1835" max="1835" width="10.28515625" style="15" customWidth="1"/>
    <col min="1836" max="1836" width="9.140625" style="15"/>
    <col min="1837" max="1837" width="11.5703125" style="15" customWidth="1"/>
    <col min="1838" max="1838" width="9.5703125" style="15" customWidth="1"/>
    <col min="1839" max="1839" width="8.28515625" style="15" bestFit="1" customWidth="1"/>
    <col min="1840" max="1840" width="13.7109375" style="15" customWidth="1"/>
    <col min="1841" max="1841" width="8.5703125" style="15" bestFit="1" customWidth="1"/>
    <col min="1842" max="1842" width="6.85546875" style="15" bestFit="1" customWidth="1"/>
    <col min="1843" max="1843" width="8.42578125" style="15" customWidth="1"/>
    <col min="1844" max="1844" width="10.28515625" style="15" customWidth="1"/>
    <col min="1845" max="1845" width="9" style="15" bestFit="1" customWidth="1"/>
    <col min="1846" max="1846" width="8.28515625" style="15" customWidth="1"/>
    <col min="1847" max="1847" width="7.7109375" style="15" customWidth="1"/>
    <col min="1848" max="1848" width="8.42578125" style="15" customWidth="1"/>
    <col min="1849" max="1849" width="14.28515625" style="15" customWidth="1"/>
    <col min="1850" max="1850" width="10.85546875" style="15" customWidth="1"/>
    <col min="1851" max="1851" width="7.5703125" style="15" customWidth="1"/>
    <col min="1852" max="1852" width="9" style="15" customWidth="1"/>
    <col min="1853" max="1853" width="11.140625" style="15" customWidth="1"/>
    <col min="1854" max="1854" width="9.42578125" style="15" customWidth="1"/>
    <col min="1855" max="1855" width="7.7109375" style="15" bestFit="1" customWidth="1"/>
    <col min="1856" max="1856" width="6.85546875" style="15" bestFit="1" customWidth="1"/>
    <col min="1857" max="1857" width="10.42578125" style="15" customWidth="1"/>
    <col min="1858" max="1858" width="10.85546875" style="15" customWidth="1"/>
    <col min="1859" max="1868" width="9.140625" style="15"/>
    <col min="1869" max="1869" width="21.28515625" style="15" customWidth="1"/>
    <col min="1870" max="1870" width="17" style="15" customWidth="1"/>
    <col min="1871" max="2087" width="9.140625" style="15"/>
    <col min="2088" max="2088" width="10" style="15" bestFit="1" customWidth="1"/>
    <col min="2089" max="2090" width="10" style="15" customWidth="1"/>
    <col min="2091" max="2091" width="10.28515625" style="15" customWidth="1"/>
    <col min="2092" max="2092" width="9.140625" style="15"/>
    <col min="2093" max="2093" width="11.5703125" style="15" customWidth="1"/>
    <col min="2094" max="2094" width="9.5703125" style="15" customWidth="1"/>
    <col min="2095" max="2095" width="8.28515625" style="15" bestFit="1" customWidth="1"/>
    <col min="2096" max="2096" width="13.7109375" style="15" customWidth="1"/>
    <col min="2097" max="2097" width="8.5703125" style="15" bestFit="1" customWidth="1"/>
    <col min="2098" max="2098" width="6.85546875" style="15" bestFit="1" customWidth="1"/>
    <col min="2099" max="2099" width="8.42578125" style="15" customWidth="1"/>
    <col min="2100" max="2100" width="10.28515625" style="15" customWidth="1"/>
    <col min="2101" max="2101" width="9" style="15" bestFit="1" customWidth="1"/>
    <col min="2102" max="2102" width="8.28515625" style="15" customWidth="1"/>
    <col min="2103" max="2103" width="7.7109375" style="15" customWidth="1"/>
    <col min="2104" max="2104" width="8.42578125" style="15" customWidth="1"/>
    <col min="2105" max="2105" width="14.28515625" style="15" customWidth="1"/>
    <col min="2106" max="2106" width="10.85546875" style="15" customWidth="1"/>
    <col min="2107" max="2107" width="7.5703125" style="15" customWidth="1"/>
    <col min="2108" max="2108" width="9" style="15" customWidth="1"/>
    <col min="2109" max="2109" width="11.140625" style="15" customWidth="1"/>
    <col min="2110" max="2110" width="9.42578125" style="15" customWidth="1"/>
    <col min="2111" max="2111" width="7.7109375" style="15" bestFit="1" customWidth="1"/>
    <col min="2112" max="2112" width="6.85546875" style="15" bestFit="1" customWidth="1"/>
    <col min="2113" max="2113" width="10.42578125" style="15" customWidth="1"/>
    <col min="2114" max="2114" width="10.85546875" style="15" customWidth="1"/>
    <col min="2115" max="2124" width="9.140625" style="15"/>
    <col min="2125" max="2125" width="21.28515625" style="15" customWidth="1"/>
    <col min="2126" max="2126" width="17" style="15" customWidth="1"/>
    <col min="2127" max="2343" width="9.140625" style="15"/>
    <col min="2344" max="2344" width="10" style="15" bestFit="1" customWidth="1"/>
    <col min="2345" max="2346" width="10" style="15" customWidth="1"/>
    <col min="2347" max="2347" width="10.28515625" style="15" customWidth="1"/>
    <col min="2348" max="2348" width="9.140625" style="15"/>
    <col min="2349" max="2349" width="11.5703125" style="15" customWidth="1"/>
    <col min="2350" max="2350" width="9.5703125" style="15" customWidth="1"/>
    <col min="2351" max="2351" width="8.28515625" style="15" bestFit="1" customWidth="1"/>
    <col min="2352" max="2352" width="13.7109375" style="15" customWidth="1"/>
    <col min="2353" max="2353" width="8.5703125" style="15" bestFit="1" customWidth="1"/>
    <col min="2354" max="2354" width="6.85546875" style="15" bestFit="1" customWidth="1"/>
    <col min="2355" max="2355" width="8.42578125" style="15" customWidth="1"/>
    <col min="2356" max="2356" width="10.28515625" style="15" customWidth="1"/>
    <col min="2357" max="2357" width="9" style="15" bestFit="1" customWidth="1"/>
    <col min="2358" max="2358" width="8.28515625" style="15" customWidth="1"/>
    <col min="2359" max="2359" width="7.7109375" style="15" customWidth="1"/>
    <col min="2360" max="2360" width="8.42578125" style="15" customWidth="1"/>
    <col min="2361" max="2361" width="14.28515625" style="15" customWidth="1"/>
    <col min="2362" max="2362" width="10.85546875" style="15" customWidth="1"/>
    <col min="2363" max="2363" width="7.5703125" style="15" customWidth="1"/>
    <col min="2364" max="2364" width="9" style="15" customWidth="1"/>
    <col min="2365" max="2365" width="11.140625" style="15" customWidth="1"/>
    <col min="2366" max="2366" width="9.42578125" style="15" customWidth="1"/>
    <col min="2367" max="2367" width="7.7109375" style="15" bestFit="1" customWidth="1"/>
    <col min="2368" max="2368" width="6.85546875" style="15" bestFit="1" customWidth="1"/>
    <col min="2369" max="2369" width="10.42578125" style="15" customWidth="1"/>
    <col min="2370" max="2370" width="10.85546875" style="15" customWidth="1"/>
    <col min="2371" max="2380" width="9.140625" style="15"/>
    <col min="2381" max="2381" width="21.28515625" style="15" customWidth="1"/>
    <col min="2382" max="2382" width="17" style="15" customWidth="1"/>
    <col min="2383" max="2599" width="9.140625" style="15"/>
    <col min="2600" max="2600" width="10" style="15" bestFit="1" customWidth="1"/>
    <col min="2601" max="2602" width="10" style="15" customWidth="1"/>
    <col min="2603" max="2603" width="10.28515625" style="15" customWidth="1"/>
    <col min="2604" max="2604" width="9.140625" style="15"/>
    <col min="2605" max="2605" width="11.5703125" style="15" customWidth="1"/>
    <col min="2606" max="2606" width="9.5703125" style="15" customWidth="1"/>
    <col min="2607" max="2607" width="8.28515625" style="15" bestFit="1" customWidth="1"/>
    <col min="2608" max="2608" width="13.7109375" style="15" customWidth="1"/>
    <col min="2609" max="2609" width="8.5703125" style="15" bestFit="1" customWidth="1"/>
    <col min="2610" max="2610" width="6.85546875" style="15" bestFit="1" customWidth="1"/>
    <col min="2611" max="2611" width="8.42578125" style="15" customWidth="1"/>
    <col min="2612" max="2612" width="10.28515625" style="15" customWidth="1"/>
    <col min="2613" max="2613" width="9" style="15" bestFit="1" customWidth="1"/>
    <col min="2614" max="2614" width="8.28515625" style="15" customWidth="1"/>
    <col min="2615" max="2615" width="7.7109375" style="15" customWidth="1"/>
    <col min="2616" max="2616" width="8.42578125" style="15" customWidth="1"/>
    <col min="2617" max="2617" width="14.28515625" style="15" customWidth="1"/>
    <col min="2618" max="2618" width="10.85546875" style="15" customWidth="1"/>
    <col min="2619" max="2619" width="7.5703125" style="15" customWidth="1"/>
    <col min="2620" max="2620" width="9" style="15" customWidth="1"/>
    <col min="2621" max="2621" width="11.140625" style="15" customWidth="1"/>
    <col min="2622" max="2622" width="9.42578125" style="15" customWidth="1"/>
    <col min="2623" max="2623" width="7.7109375" style="15" bestFit="1" customWidth="1"/>
    <col min="2624" max="2624" width="6.85546875" style="15" bestFit="1" customWidth="1"/>
    <col min="2625" max="2625" width="10.42578125" style="15" customWidth="1"/>
    <col min="2626" max="2626" width="10.85546875" style="15" customWidth="1"/>
    <col min="2627" max="2636" width="9.140625" style="15"/>
    <col min="2637" max="2637" width="21.28515625" style="15" customWidth="1"/>
    <col min="2638" max="2638" width="17" style="15" customWidth="1"/>
    <col min="2639" max="2855" width="9.140625" style="15"/>
    <col min="2856" max="2856" width="10" style="15" bestFit="1" customWidth="1"/>
    <col min="2857" max="2858" width="10" style="15" customWidth="1"/>
    <col min="2859" max="2859" width="10.28515625" style="15" customWidth="1"/>
    <col min="2860" max="2860" width="9.140625" style="15"/>
    <col min="2861" max="2861" width="11.5703125" style="15" customWidth="1"/>
    <col min="2862" max="2862" width="9.5703125" style="15" customWidth="1"/>
    <col min="2863" max="2863" width="8.28515625" style="15" bestFit="1" customWidth="1"/>
    <col min="2864" max="2864" width="13.7109375" style="15" customWidth="1"/>
    <col min="2865" max="2865" width="8.5703125" style="15" bestFit="1" customWidth="1"/>
    <col min="2866" max="2866" width="6.85546875" style="15" bestFit="1" customWidth="1"/>
    <col min="2867" max="2867" width="8.42578125" style="15" customWidth="1"/>
    <col min="2868" max="2868" width="10.28515625" style="15" customWidth="1"/>
    <col min="2869" max="2869" width="9" style="15" bestFit="1" customWidth="1"/>
    <col min="2870" max="2870" width="8.28515625" style="15" customWidth="1"/>
    <col min="2871" max="2871" width="7.7109375" style="15" customWidth="1"/>
    <col min="2872" max="2872" width="8.42578125" style="15" customWidth="1"/>
    <col min="2873" max="2873" width="14.28515625" style="15" customWidth="1"/>
    <col min="2874" max="2874" width="10.85546875" style="15" customWidth="1"/>
    <col min="2875" max="2875" width="7.5703125" style="15" customWidth="1"/>
    <col min="2876" max="2876" width="9" style="15" customWidth="1"/>
    <col min="2877" max="2877" width="11.140625" style="15" customWidth="1"/>
    <col min="2878" max="2878" width="9.42578125" style="15" customWidth="1"/>
    <col min="2879" max="2879" width="7.7109375" style="15" bestFit="1" customWidth="1"/>
    <col min="2880" max="2880" width="6.85546875" style="15" bestFit="1" customWidth="1"/>
    <col min="2881" max="2881" width="10.42578125" style="15" customWidth="1"/>
    <col min="2882" max="2882" width="10.85546875" style="15" customWidth="1"/>
    <col min="2883" max="2892" width="9.140625" style="15"/>
    <col min="2893" max="2893" width="21.28515625" style="15" customWidth="1"/>
    <col min="2894" max="2894" width="17" style="15" customWidth="1"/>
    <col min="2895" max="3111" width="9.140625" style="15"/>
    <col min="3112" max="3112" width="10" style="15" bestFit="1" customWidth="1"/>
    <col min="3113" max="3114" width="10" style="15" customWidth="1"/>
    <col min="3115" max="3115" width="10.28515625" style="15" customWidth="1"/>
    <col min="3116" max="3116" width="9.140625" style="15"/>
    <col min="3117" max="3117" width="11.5703125" style="15" customWidth="1"/>
    <col min="3118" max="3118" width="9.5703125" style="15" customWidth="1"/>
    <col min="3119" max="3119" width="8.28515625" style="15" bestFit="1" customWidth="1"/>
    <col min="3120" max="3120" width="13.7109375" style="15" customWidth="1"/>
    <col min="3121" max="3121" width="8.5703125" style="15" bestFit="1" customWidth="1"/>
    <col min="3122" max="3122" width="6.85546875" style="15" bestFit="1" customWidth="1"/>
    <col min="3123" max="3123" width="8.42578125" style="15" customWidth="1"/>
    <col min="3124" max="3124" width="10.28515625" style="15" customWidth="1"/>
    <col min="3125" max="3125" width="9" style="15" bestFit="1" customWidth="1"/>
    <col min="3126" max="3126" width="8.28515625" style="15" customWidth="1"/>
    <col min="3127" max="3127" width="7.7109375" style="15" customWidth="1"/>
    <col min="3128" max="3128" width="8.42578125" style="15" customWidth="1"/>
    <col min="3129" max="3129" width="14.28515625" style="15" customWidth="1"/>
    <col min="3130" max="3130" width="10.85546875" style="15" customWidth="1"/>
    <col min="3131" max="3131" width="7.5703125" style="15" customWidth="1"/>
    <col min="3132" max="3132" width="9" style="15" customWidth="1"/>
    <col min="3133" max="3133" width="11.140625" style="15" customWidth="1"/>
    <col min="3134" max="3134" width="9.42578125" style="15" customWidth="1"/>
    <col min="3135" max="3135" width="7.7109375" style="15" bestFit="1" customWidth="1"/>
    <col min="3136" max="3136" width="6.85546875" style="15" bestFit="1" customWidth="1"/>
    <col min="3137" max="3137" width="10.42578125" style="15" customWidth="1"/>
    <col min="3138" max="3138" width="10.85546875" style="15" customWidth="1"/>
    <col min="3139" max="3148" width="9.140625" style="15"/>
    <col min="3149" max="3149" width="21.28515625" style="15" customWidth="1"/>
    <col min="3150" max="3150" width="17" style="15" customWidth="1"/>
    <col min="3151" max="3367" width="9.140625" style="15"/>
    <col min="3368" max="3368" width="10" style="15" bestFit="1" customWidth="1"/>
    <col min="3369" max="3370" width="10" style="15" customWidth="1"/>
    <col min="3371" max="3371" width="10.28515625" style="15" customWidth="1"/>
    <col min="3372" max="3372" width="9.140625" style="15"/>
    <col min="3373" max="3373" width="11.5703125" style="15" customWidth="1"/>
    <col min="3374" max="3374" width="9.5703125" style="15" customWidth="1"/>
    <col min="3375" max="3375" width="8.28515625" style="15" bestFit="1" customWidth="1"/>
    <col min="3376" max="3376" width="13.7109375" style="15" customWidth="1"/>
    <col min="3377" max="3377" width="8.5703125" style="15" bestFit="1" customWidth="1"/>
    <col min="3378" max="3378" width="6.85546875" style="15" bestFit="1" customWidth="1"/>
    <col min="3379" max="3379" width="8.42578125" style="15" customWidth="1"/>
    <col min="3380" max="3380" width="10.28515625" style="15" customWidth="1"/>
    <col min="3381" max="3381" width="9" style="15" bestFit="1" customWidth="1"/>
    <col min="3382" max="3382" width="8.28515625" style="15" customWidth="1"/>
    <col min="3383" max="3383" width="7.7109375" style="15" customWidth="1"/>
    <col min="3384" max="3384" width="8.42578125" style="15" customWidth="1"/>
    <col min="3385" max="3385" width="14.28515625" style="15" customWidth="1"/>
    <col min="3386" max="3386" width="10.85546875" style="15" customWidth="1"/>
    <col min="3387" max="3387" width="7.5703125" style="15" customWidth="1"/>
    <col min="3388" max="3388" width="9" style="15" customWidth="1"/>
    <col min="3389" max="3389" width="11.140625" style="15" customWidth="1"/>
    <col min="3390" max="3390" width="9.42578125" style="15" customWidth="1"/>
    <col min="3391" max="3391" width="7.7109375" style="15" bestFit="1" customWidth="1"/>
    <col min="3392" max="3392" width="6.85546875" style="15" bestFit="1" customWidth="1"/>
    <col min="3393" max="3393" width="10.42578125" style="15" customWidth="1"/>
    <col min="3394" max="3394" width="10.85546875" style="15" customWidth="1"/>
    <col min="3395" max="3404" width="9.140625" style="15"/>
    <col min="3405" max="3405" width="21.28515625" style="15" customWidth="1"/>
    <col min="3406" max="3406" width="17" style="15" customWidth="1"/>
    <col min="3407" max="3623" width="9.140625" style="15"/>
    <col min="3624" max="3624" width="10" style="15" bestFit="1" customWidth="1"/>
    <col min="3625" max="3626" width="10" style="15" customWidth="1"/>
    <col min="3627" max="3627" width="10.28515625" style="15" customWidth="1"/>
    <col min="3628" max="3628" width="9.140625" style="15"/>
    <col min="3629" max="3629" width="11.5703125" style="15" customWidth="1"/>
    <col min="3630" max="3630" width="9.5703125" style="15" customWidth="1"/>
    <col min="3631" max="3631" width="8.28515625" style="15" bestFit="1" customWidth="1"/>
    <col min="3632" max="3632" width="13.7109375" style="15" customWidth="1"/>
    <col min="3633" max="3633" width="8.5703125" style="15" bestFit="1" customWidth="1"/>
    <col min="3634" max="3634" width="6.85546875" style="15" bestFit="1" customWidth="1"/>
    <col min="3635" max="3635" width="8.42578125" style="15" customWidth="1"/>
    <col min="3636" max="3636" width="10.28515625" style="15" customWidth="1"/>
    <col min="3637" max="3637" width="9" style="15" bestFit="1" customWidth="1"/>
    <col min="3638" max="3638" width="8.28515625" style="15" customWidth="1"/>
    <col min="3639" max="3639" width="7.7109375" style="15" customWidth="1"/>
    <col min="3640" max="3640" width="8.42578125" style="15" customWidth="1"/>
    <col min="3641" max="3641" width="14.28515625" style="15" customWidth="1"/>
    <col min="3642" max="3642" width="10.85546875" style="15" customWidth="1"/>
    <col min="3643" max="3643" width="7.5703125" style="15" customWidth="1"/>
    <col min="3644" max="3644" width="9" style="15" customWidth="1"/>
    <col min="3645" max="3645" width="11.140625" style="15" customWidth="1"/>
    <col min="3646" max="3646" width="9.42578125" style="15" customWidth="1"/>
    <col min="3647" max="3647" width="7.7109375" style="15" bestFit="1" customWidth="1"/>
    <col min="3648" max="3648" width="6.85546875" style="15" bestFit="1" customWidth="1"/>
    <col min="3649" max="3649" width="10.42578125" style="15" customWidth="1"/>
    <col min="3650" max="3650" width="10.85546875" style="15" customWidth="1"/>
    <col min="3651" max="3660" width="9.140625" style="15"/>
    <col min="3661" max="3661" width="21.28515625" style="15" customWidth="1"/>
    <col min="3662" max="3662" width="17" style="15" customWidth="1"/>
    <col min="3663" max="3879" width="9.140625" style="15"/>
    <col min="3880" max="3880" width="10" style="15" bestFit="1" customWidth="1"/>
    <col min="3881" max="3882" width="10" style="15" customWidth="1"/>
    <col min="3883" max="3883" width="10.28515625" style="15" customWidth="1"/>
    <col min="3884" max="3884" width="9.140625" style="15"/>
    <col min="3885" max="3885" width="11.5703125" style="15" customWidth="1"/>
    <col min="3886" max="3886" width="9.5703125" style="15" customWidth="1"/>
    <col min="3887" max="3887" width="8.28515625" style="15" bestFit="1" customWidth="1"/>
    <col min="3888" max="3888" width="13.7109375" style="15" customWidth="1"/>
    <col min="3889" max="3889" width="8.5703125" style="15" bestFit="1" customWidth="1"/>
    <col min="3890" max="3890" width="6.85546875" style="15" bestFit="1" customWidth="1"/>
    <col min="3891" max="3891" width="8.42578125" style="15" customWidth="1"/>
    <col min="3892" max="3892" width="10.28515625" style="15" customWidth="1"/>
    <col min="3893" max="3893" width="9" style="15" bestFit="1" customWidth="1"/>
    <col min="3894" max="3894" width="8.28515625" style="15" customWidth="1"/>
    <col min="3895" max="3895" width="7.7109375" style="15" customWidth="1"/>
    <col min="3896" max="3896" width="8.42578125" style="15" customWidth="1"/>
    <col min="3897" max="3897" width="14.28515625" style="15" customWidth="1"/>
    <col min="3898" max="3898" width="10.85546875" style="15" customWidth="1"/>
    <col min="3899" max="3899" width="7.5703125" style="15" customWidth="1"/>
    <col min="3900" max="3900" width="9" style="15" customWidth="1"/>
    <col min="3901" max="3901" width="11.140625" style="15" customWidth="1"/>
    <col min="3902" max="3902" width="9.42578125" style="15" customWidth="1"/>
    <col min="3903" max="3903" width="7.7109375" style="15" bestFit="1" customWidth="1"/>
    <col min="3904" max="3904" width="6.85546875" style="15" bestFit="1" customWidth="1"/>
    <col min="3905" max="3905" width="10.42578125" style="15" customWidth="1"/>
    <col min="3906" max="3906" width="10.85546875" style="15" customWidth="1"/>
    <col min="3907" max="3916" width="9.140625" style="15"/>
    <col min="3917" max="3917" width="21.28515625" style="15" customWidth="1"/>
    <col min="3918" max="3918" width="17" style="15" customWidth="1"/>
    <col min="3919" max="4135" width="9.140625" style="15"/>
    <col min="4136" max="4136" width="10" style="15" bestFit="1" customWidth="1"/>
    <col min="4137" max="4138" width="10" style="15" customWidth="1"/>
    <col min="4139" max="4139" width="10.28515625" style="15" customWidth="1"/>
    <col min="4140" max="4140" width="9.140625" style="15"/>
    <col min="4141" max="4141" width="11.5703125" style="15" customWidth="1"/>
    <col min="4142" max="4142" width="9.5703125" style="15" customWidth="1"/>
    <col min="4143" max="4143" width="8.28515625" style="15" bestFit="1" customWidth="1"/>
    <col min="4144" max="4144" width="13.7109375" style="15" customWidth="1"/>
    <col min="4145" max="4145" width="8.5703125" style="15" bestFit="1" customWidth="1"/>
    <col min="4146" max="4146" width="6.85546875" style="15" bestFit="1" customWidth="1"/>
    <col min="4147" max="4147" width="8.42578125" style="15" customWidth="1"/>
    <col min="4148" max="4148" width="10.28515625" style="15" customWidth="1"/>
    <col min="4149" max="4149" width="9" style="15" bestFit="1" customWidth="1"/>
    <col min="4150" max="4150" width="8.28515625" style="15" customWidth="1"/>
    <col min="4151" max="4151" width="7.7109375" style="15" customWidth="1"/>
    <col min="4152" max="4152" width="8.42578125" style="15" customWidth="1"/>
    <col min="4153" max="4153" width="14.28515625" style="15" customWidth="1"/>
    <col min="4154" max="4154" width="10.85546875" style="15" customWidth="1"/>
    <col min="4155" max="4155" width="7.5703125" style="15" customWidth="1"/>
    <col min="4156" max="4156" width="9" style="15" customWidth="1"/>
    <col min="4157" max="4157" width="11.140625" style="15" customWidth="1"/>
    <col min="4158" max="4158" width="9.42578125" style="15" customWidth="1"/>
    <col min="4159" max="4159" width="7.7109375" style="15" bestFit="1" customWidth="1"/>
    <col min="4160" max="4160" width="6.85546875" style="15" bestFit="1" customWidth="1"/>
    <col min="4161" max="4161" width="10.42578125" style="15" customWidth="1"/>
    <col min="4162" max="4162" width="10.85546875" style="15" customWidth="1"/>
    <col min="4163" max="4172" width="9.140625" style="15"/>
    <col min="4173" max="4173" width="21.28515625" style="15" customWidth="1"/>
    <col min="4174" max="4174" width="17" style="15" customWidth="1"/>
    <col min="4175" max="4391" width="9.140625" style="15"/>
    <col min="4392" max="4392" width="10" style="15" bestFit="1" customWidth="1"/>
    <col min="4393" max="4394" width="10" style="15" customWidth="1"/>
    <col min="4395" max="4395" width="10.28515625" style="15" customWidth="1"/>
    <col min="4396" max="4396" width="9.140625" style="15"/>
    <col min="4397" max="4397" width="11.5703125" style="15" customWidth="1"/>
    <col min="4398" max="4398" width="9.5703125" style="15" customWidth="1"/>
    <col min="4399" max="4399" width="8.28515625" style="15" bestFit="1" customWidth="1"/>
    <col min="4400" max="4400" width="13.7109375" style="15" customWidth="1"/>
    <col min="4401" max="4401" width="8.5703125" style="15" bestFit="1" customWidth="1"/>
    <col min="4402" max="4402" width="6.85546875" style="15" bestFit="1" customWidth="1"/>
    <col min="4403" max="4403" width="8.42578125" style="15" customWidth="1"/>
    <col min="4404" max="4404" width="10.28515625" style="15" customWidth="1"/>
    <col min="4405" max="4405" width="9" style="15" bestFit="1" customWidth="1"/>
    <col min="4406" max="4406" width="8.28515625" style="15" customWidth="1"/>
    <col min="4407" max="4407" width="7.7109375" style="15" customWidth="1"/>
    <col min="4408" max="4408" width="8.42578125" style="15" customWidth="1"/>
    <col min="4409" max="4409" width="14.28515625" style="15" customWidth="1"/>
    <col min="4410" max="4410" width="10.85546875" style="15" customWidth="1"/>
    <col min="4411" max="4411" width="7.5703125" style="15" customWidth="1"/>
    <col min="4412" max="4412" width="9" style="15" customWidth="1"/>
    <col min="4413" max="4413" width="11.140625" style="15" customWidth="1"/>
    <col min="4414" max="4414" width="9.42578125" style="15" customWidth="1"/>
    <col min="4415" max="4415" width="7.7109375" style="15" bestFit="1" customWidth="1"/>
    <col min="4416" max="4416" width="6.85546875" style="15" bestFit="1" customWidth="1"/>
    <col min="4417" max="4417" width="10.42578125" style="15" customWidth="1"/>
    <col min="4418" max="4418" width="10.85546875" style="15" customWidth="1"/>
    <col min="4419" max="4428" width="9.140625" style="15"/>
    <col min="4429" max="4429" width="21.28515625" style="15" customWidth="1"/>
    <col min="4430" max="4430" width="17" style="15" customWidth="1"/>
    <col min="4431" max="4647" width="9.140625" style="15"/>
    <col min="4648" max="4648" width="10" style="15" bestFit="1" customWidth="1"/>
    <col min="4649" max="4650" width="10" style="15" customWidth="1"/>
    <col min="4651" max="4651" width="10.28515625" style="15" customWidth="1"/>
    <col min="4652" max="4652" width="9.140625" style="15"/>
    <col min="4653" max="4653" width="11.5703125" style="15" customWidth="1"/>
    <col min="4654" max="4654" width="9.5703125" style="15" customWidth="1"/>
    <col min="4655" max="4655" width="8.28515625" style="15" bestFit="1" customWidth="1"/>
    <col min="4656" max="4656" width="13.7109375" style="15" customWidth="1"/>
    <col min="4657" max="4657" width="8.5703125" style="15" bestFit="1" customWidth="1"/>
    <col min="4658" max="4658" width="6.85546875" style="15" bestFit="1" customWidth="1"/>
    <col min="4659" max="4659" width="8.42578125" style="15" customWidth="1"/>
    <col min="4660" max="4660" width="10.28515625" style="15" customWidth="1"/>
    <col min="4661" max="4661" width="9" style="15" bestFit="1" customWidth="1"/>
    <col min="4662" max="4662" width="8.28515625" style="15" customWidth="1"/>
    <col min="4663" max="4663" width="7.7109375" style="15" customWidth="1"/>
    <col min="4664" max="4664" width="8.42578125" style="15" customWidth="1"/>
    <col min="4665" max="4665" width="14.28515625" style="15" customWidth="1"/>
    <col min="4666" max="4666" width="10.85546875" style="15" customWidth="1"/>
    <col min="4667" max="4667" width="7.5703125" style="15" customWidth="1"/>
    <col min="4668" max="4668" width="9" style="15" customWidth="1"/>
    <col min="4669" max="4669" width="11.140625" style="15" customWidth="1"/>
    <col min="4670" max="4670" width="9.42578125" style="15" customWidth="1"/>
    <col min="4671" max="4671" width="7.7109375" style="15" bestFit="1" customWidth="1"/>
    <col min="4672" max="4672" width="6.85546875" style="15" bestFit="1" customWidth="1"/>
    <col min="4673" max="4673" width="10.42578125" style="15" customWidth="1"/>
    <col min="4674" max="4674" width="10.85546875" style="15" customWidth="1"/>
    <col min="4675" max="4684" width="9.140625" style="15"/>
    <col min="4685" max="4685" width="21.28515625" style="15" customWidth="1"/>
    <col min="4686" max="4686" width="17" style="15" customWidth="1"/>
    <col min="4687" max="4903" width="9.140625" style="15"/>
    <col min="4904" max="4904" width="10" style="15" bestFit="1" customWidth="1"/>
    <col min="4905" max="4906" width="10" style="15" customWidth="1"/>
    <col min="4907" max="4907" width="10.28515625" style="15" customWidth="1"/>
    <col min="4908" max="4908" width="9.140625" style="15"/>
    <col min="4909" max="4909" width="11.5703125" style="15" customWidth="1"/>
    <col min="4910" max="4910" width="9.5703125" style="15" customWidth="1"/>
    <col min="4911" max="4911" width="8.28515625" style="15" bestFit="1" customWidth="1"/>
    <col min="4912" max="4912" width="13.7109375" style="15" customWidth="1"/>
    <col min="4913" max="4913" width="8.5703125" style="15" bestFit="1" customWidth="1"/>
    <col min="4914" max="4914" width="6.85546875" style="15" bestFit="1" customWidth="1"/>
    <col min="4915" max="4915" width="8.42578125" style="15" customWidth="1"/>
    <col min="4916" max="4916" width="10.28515625" style="15" customWidth="1"/>
    <col min="4917" max="4917" width="9" style="15" bestFit="1" customWidth="1"/>
    <col min="4918" max="4918" width="8.28515625" style="15" customWidth="1"/>
    <col min="4919" max="4919" width="7.7109375" style="15" customWidth="1"/>
    <col min="4920" max="4920" width="8.42578125" style="15" customWidth="1"/>
    <col min="4921" max="4921" width="14.28515625" style="15" customWidth="1"/>
    <col min="4922" max="4922" width="10.85546875" style="15" customWidth="1"/>
    <col min="4923" max="4923" width="7.5703125" style="15" customWidth="1"/>
    <col min="4924" max="4924" width="9" style="15" customWidth="1"/>
    <col min="4925" max="4925" width="11.140625" style="15" customWidth="1"/>
    <col min="4926" max="4926" width="9.42578125" style="15" customWidth="1"/>
    <col min="4927" max="4927" width="7.7109375" style="15" bestFit="1" customWidth="1"/>
    <col min="4928" max="4928" width="6.85546875" style="15" bestFit="1" customWidth="1"/>
    <col min="4929" max="4929" width="10.42578125" style="15" customWidth="1"/>
    <col min="4930" max="4930" width="10.85546875" style="15" customWidth="1"/>
    <col min="4931" max="4940" width="9.140625" style="15"/>
    <col min="4941" max="4941" width="21.28515625" style="15" customWidth="1"/>
    <col min="4942" max="4942" width="17" style="15" customWidth="1"/>
    <col min="4943" max="5159" width="9.140625" style="15"/>
    <col min="5160" max="5160" width="10" style="15" bestFit="1" customWidth="1"/>
    <col min="5161" max="5162" width="10" style="15" customWidth="1"/>
    <col min="5163" max="5163" width="10.28515625" style="15" customWidth="1"/>
    <col min="5164" max="5164" width="9.140625" style="15"/>
    <col min="5165" max="5165" width="11.5703125" style="15" customWidth="1"/>
    <col min="5166" max="5166" width="9.5703125" style="15" customWidth="1"/>
    <col min="5167" max="5167" width="8.28515625" style="15" bestFit="1" customWidth="1"/>
    <col min="5168" max="5168" width="13.7109375" style="15" customWidth="1"/>
    <col min="5169" max="5169" width="8.5703125" style="15" bestFit="1" customWidth="1"/>
    <col min="5170" max="5170" width="6.85546875" style="15" bestFit="1" customWidth="1"/>
    <col min="5171" max="5171" width="8.42578125" style="15" customWidth="1"/>
    <col min="5172" max="5172" width="10.28515625" style="15" customWidth="1"/>
    <col min="5173" max="5173" width="9" style="15" bestFit="1" customWidth="1"/>
    <col min="5174" max="5174" width="8.28515625" style="15" customWidth="1"/>
    <col min="5175" max="5175" width="7.7109375" style="15" customWidth="1"/>
    <col min="5176" max="5176" width="8.42578125" style="15" customWidth="1"/>
    <col min="5177" max="5177" width="14.28515625" style="15" customWidth="1"/>
    <col min="5178" max="5178" width="10.85546875" style="15" customWidth="1"/>
    <col min="5179" max="5179" width="7.5703125" style="15" customWidth="1"/>
    <col min="5180" max="5180" width="9" style="15" customWidth="1"/>
    <col min="5181" max="5181" width="11.140625" style="15" customWidth="1"/>
    <col min="5182" max="5182" width="9.42578125" style="15" customWidth="1"/>
    <col min="5183" max="5183" width="7.7109375" style="15" bestFit="1" customWidth="1"/>
    <col min="5184" max="5184" width="6.85546875" style="15" bestFit="1" customWidth="1"/>
    <col min="5185" max="5185" width="10.42578125" style="15" customWidth="1"/>
    <col min="5186" max="5186" width="10.85546875" style="15" customWidth="1"/>
    <col min="5187" max="5196" width="9.140625" style="15"/>
    <col min="5197" max="5197" width="21.28515625" style="15" customWidth="1"/>
    <col min="5198" max="5198" width="17" style="15" customWidth="1"/>
    <col min="5199" max="5415" width="9.140625" style="15"/>
    <col min="5416" max="5416" width="10" style="15" bestFit="1" customWidth="1"/>
    <col min="5417" max="5418" width="10" style="15" customWidth="1"/>
    <col min="5419" max="5419" width="10.28515625" style="15" customWidth="1"/>
    <col min="5420" max="5420" width="9.140625" style="15"/>
    <col min="5421" max="5421" width="11.5703125" style="15" customWidth="1"/>
    <col min="5422" max="5422" width="9.5703125" style="15" customWidth="1"/>
    <col min="5423" max="5423" width="8.28515625" style="15" bestFit="1" customWidth="1"/>
    <col min="5424" max="5424" width="13.7109375" style="15" customWidth="1"/>
    <col min="5425" max="5425" width="8.5703125" style="15" bestFit="1" customWidth="1"/>
    <col min="5426" max="5426" width="6.85546875" style="15" bestFit="1" customWidth="1"/>
    <col min="5427" max="5427" width="8.42578125" style="15" customWidth="1"/>
    <col min="5428" max="5428" width="10.28515625" style="15" customWidth="1"/>
    <col min="5429" max="5429" width="9" style="15" bestFit="1" customWidth="1"/>
    <col min="5430" max="5430" width="8.28515625" style="15" customWidth="1"/>
    <col min="5431" max="5431" width="7.7109375" style="15" customWidth="1"/>
    <col min="5432" max="5432" width="8.42578125" style="15" customWidth="1"/>
    <col min="5433" max="5433" width="14.28515625" style="15" customWidth="1"/>
    <col min="5434" max="5434" width="10.85546875" style="15" customWidth="1"/>
    <col min="5435" max="5435" width="7.5703125" style="15" customWidth="1"/>
    <col min="5436" max="5436" width="9" style="15" customWidth="1"/>
    <col min="5437" max="5437" width="11.140625" style="15" customWidth="1"/>
    <col min="5438" max="5438" width="9.42578125" style="15" customWidth="1"/>
    <col min="5439" max="5439" width="7.7109375" style="15" bestFit="1" customWidth="1"/>
    <col min="5440" max="5440" width="6.85546875" style="15" bestFit="1" customWidth="1"/>
    <col min="5441" max="5441" width="10.42578125" style="15" customWidth="1"/>
    <col min="5442" max="5442" width="10.85546875" style="15" customWidth="1"/>
    <col min="5443" max="5452" width="9.140625" style="15"/>
    <col min="5453" max="5453" width="21.28515625" style="15" customWidth="1"/>
    <col min="5454" max="5454" width="17" style="15" customWidth="1"/>
    <col min="5455" max="5671" width="9.140625" style="15"/>
    <col min="5672" max="5672" width="10" style="15" bestFit="1" customWidth="1"/>
    <col min="5673" max="5674" width="10" style="15" customWidth="1"/>
    <col min="5675" max="5675" width="10.28515625" style="15" customWidth="1"/>
    <col min="5676" max="5676" width="9.140625" style="15"/>
    <col min="5677" max="5677" width="11.5703125" style="15" customWidth="1"/>
    <col min="5678" max="5678" width="9.5703125" style="15" customWidth="1"/>
    <col min="5679" max="5679" width="8.28515625" style="15" bestFit="1" customWidth="1"/>
    <col min="5680" max="5680" width="13.7109375" style="15" customWidth="1"/>
    <col min="5681" max="5681" width="8.5703125" style="15" bestFit="1" customWidth="1"/>
    <col min="5682" max="5682" width="6.85546875" style="15" bestFit="1" customWidth="1"/>
    <col min="5683" max="5683" width="8.42578125" style="15" customWidth="1"/>
    <col min="5684" max="5684" width="10.28515625" style="15" customWidth="1"/>
    <col min="5685" max="5685" width="9" style="15" bestFit="1" customWidth="1"/>
    <col min="5686" max="5686" width="8.28515625" style="15" customWidth="1"/>
    <col min="5687" max="5687" width="7.7109375" style="15" customWidth="1"/>
    <col min="5688" max="5688" width="8.42578125" style="15" customWidth="1"/>
    <col min="5689" max="5689" width="14.28515625" style="15" customWidth="1"/>
    <col min="5690" max="5690" width="10.85546875" style="15" customWidth="1"/>
    <col min="5691" max="5691" width="7.5703125" style="15" customWidth="1"/>
    <col min="5692" max="5692" width="9" style="15" customWidth="1"/>
    <col min="5693" max="5693" width="11.140625" style="15" customWidth="1"/>
    <col min="5694" max="5694" width="9.42578125" style="15" customWidth="1"/>
    <col min="5695" max="5695" width="7.7109375" style="15" bestFit="1" customWidth="1"/>
    <col min="5696" max="5696" width="6.85546875" style="15" bestFit="1" customWidth="1"/>
    <col min="5697" max="5697" width="10.42578125" style="15" customWidth="1"/>
    <col min="5698" max="5698" width="10.85546875" style="15" customWidth="1"/>
    <col min="5699" max="5708" width="9.140625" style="15"/>
    <col min="5709" max="5709" width="21.28515625" style="15" customWidth="1"/>
    <col min="5710" max="5710" width="17" style="15" customWidth="1"/>
    <col min="5711" max="5927" width="9.140625" style="15"/>
    <col min="5928" max="5928" width="10" style="15" bestFit="1" customWidth="1"/>
    <col min="5929" max="5930" width="10" style="15" customWidth="1"/>
    <col min="5931" max="5931" width="10.28515625" style="15" customWidth="1"/>
    <col min="5932" max="5932" width="9.140625" style="15"/>
    <col min="5933" max="5933" width="11.5703125" style="15" customWidth="1"/>
    <col min="5934" max="5934" width="9.5703125" style="15" customWidth="1"/>
    <col min="5935" max="5935" width="8.28515625" style="15" bestFit="1" customWidth="1"/>
    <col min="5936" max="5936" width="13.7109375" style="15" customWidth="1"/>
    <col min="5937" max="5937" width="8.5703125" style="15" bestFit="1" customWidth="1"/>
    <col min="5938" max="5938" width="6.85546875" style="15" bestFit="1" customWidth="1"/>
    <col min="5939" max="5939" width="8.42578125" style="15" customWidth="1"/>
    <col min="5940" max="5940" width="10.28515625" style="15" customWidth="1"/>
    <col min="5941" max="5941" width="9" style="15" bestFit="1" customWidth="1"/>
    <col min="5942" max="5942" width="8.28515625" style="15" customWidth="1"/>
    <col min="5943" max="5943" width="7.7109375" style="15" customWidth="1"/>
    <col min="5944" max="5944" width="8.42578125" style="15" customWidth="1"/>
    <col min="5945" max="5945" width="14.28515625" style="15" customWidth="1"/>
    <col min="5946" max="5946" width="10.85546875" style="15" customWidth="1"/>
    <col min="5947" max="5947" width="7.5703125" style="15" customWidth="1"/>
    <col min="5948" max="5948" width="9" style="15" customWidth="1"/>
    <col min="5949" max="5949" width="11.140625" style="15" customWidth="1"/>
    <col min="5950" max="5950" width="9.42578125" style="15" customWidth="1"/>
    <col min="5951" max="5951" width="7.7109375" style="15" bestFit="1" customWidth="1"/>
    <col min="5952" max="5952" width="6.85546875" style="15" bestFit="1" customWidth="1"/>
    <col min="5953" max="5953" width="10.42578125" style="15" customWidth="1"/>
    <col min="5954" max="5954" width="10.85546875" style="15" customWidth="1"/>
    <col min="5955" max="5964" width="9.140625" style="15"/>
    <col min="5965" max="5965" width="21.28515625" style="15" customWidth="1"/>
    <col min="5966" max="5966" width="17" style="15" customWidth="1"/>
    <col min="5967" max="6183" width="9.140625" style="15"/>
    <col min="6184" max="6184" width="10" style="15" bestFit="1" customWidth="1"/>
    <col min="6185" max="6186" width="10" style="15" customWidth="1"/>
    <col min="6187" max="6187" width="10.28515625" style="15" customWidth="1"/>
    <col min="6188" max="6188" width="9.140625" style="15"/>
    <col min="6189" max="6189" width="11.5703125" style="15" customWidth="1"/>
    <col min="6190" max="6190" width="9.5703125" style="15" customWidth="1"/>
    <col min="6191" max="6191" width="8.28515625" style="15" bestFit="1" customWidth="1"/>
    <col min="6192" max="6192" width="13.7109375" style="15" customWidth="1"/>
    <col min="6193" max="6193" width="8.5703125" style="15" bestFit="1" customWidth="1"/>
    <col min="6194" max="6194" width="6.85546875" style="15" bestFit="1" customWidth="1"/>
    <col min="6195" max="6195" width="8.42578125" style="15" customWidth="1"/>
    <col min="6196" max="6196" width="10.28515625" style="15" customWidth="1"/>
    <col min="6197" max="6197" width="9" style="15" bestFit="1" customWidth="1"/>
    <col min="6198" max="6198" width="8.28515625" style="15" customWidth="1"/>
    <col min="6199" max="6199" width="7.7109375" style="15" customWidth="1"/>
    <col min="6200" max="6200" width="8.42578125" style="15" customWidth="1"/>
    <col min="6201" max="6201" width="14.28515625" style="15" customWidth="1"/>
    <col min="6202" max="6202" width="10.85546875" style="15" customWidth="1"/>
    <col min="6203" max="6203" width="7.5703125" style="15" customWidth="1"/>
    <col min="6204" max="6204" width="9" style="15" customWidth="1"/>
    <col min="6205" max="6205" width="11.140625" style="15" customWidth="1"/>
    <col min="6206" max="6206" width="9.42578125" style="15" customWidth="1"/>
    <col min="6207" max="6207" width="7.7109375" style="15" bestFit="1" customWidth="1"/>
    <col min="6208" max="6208" width="6.85546875" style="15" bestFit="1" customWidth="1"/>
    <col min="6209" max="6209" width="10.42578125" style="15" customWidth="1"/>
    <col min="6210" max="6210" width="10.85546875" style="15" customWidth="1"/>
    <col min="6211" max="6220" width="9.140625" style="15"/>
    <col min="6221" max="6221" width="21.28515625" style="15" customWidth="1"/>
    <col min="6222" max="6222" width="17" style="15" customWidth="1"/>
    <col min="6223" max="6439" width="9.140625" style="15"/>
    <col min="6440" max="6440" width="10" style="15" bestFit="1" customWidth="1"/>
    <col min="6441" max="6442" width="10" style="15" customWidth="1"/>
    <col min="6443" max="6443" width="10.28515625" style="15" customWidth="1"/>
    <col min="6444" max="6444" width="9.140625" style="15"/>
    <col min="6445" max="6445" width="11.5703125" style="15" customWidth="1"/>
    <col min="6446" max="6446" width="9.5703125" style="15" customWidth="1"/>
    <col min="6447" max="6447" width="8.28515625" style="15" bestFit="1" customWidth="1"/>
    <col min="6448" max="6448" width="13.7109375" style="15" customWidth="1"/>
    <col min="6449" max="6449" width="8.5703125" style="15" bestFit="1" customWidth="1"/>
    <col min="6450" max="6450" width="6.85546875" style="15" bestFit="1" customWidth="1"/>
    <col min="6451" max="6451" width="8.42578125" style="15" customWidth="1"/>
    <col min="6452" max="6452" width="10.28515625" style="15" customWidth="1"/>
    <col min="6453" max="6453" width="9" style="15" bestFit="1" customWidth="1"/>
    <col min="6454" max="6454" width="8.28515625" style="15" customWidth="1"/>
    <col min="6455" max="6455" width="7.7109375" style="15" customWidth="1"/>
    <col min="6456" max="6456" width="8.42578125" style="15" customWidth="1"/>
    <col min="6457" max="6457" width="14.28515625" style="15" customWidth="1"/>
    <col min="6458" max="6458" width="10.85546875" style="15" customWidth="1"/>
    <col min="6459" max="6459" width="7.5703125" style="15" customWidth="1"/>
    <col min="6460" max="6460" width="9" style="15" customWidth="1"/>
    <col min="6461" max="6461" width="11.140625" style="15" customWidth="1"/>
    <col min="6462" max="6462" width="9.42578125" style="15" customWidth="1"/>
    <col min="6463" max="6463" width="7.7109375" style="15" bestFit="1" customWidth="1"/>
    <col min="6464" max="6464" width="6.85546875" style="15" bestFit="1" customWidth="1"/>
    <col min="6465" max="6465" width="10.42578125" style="15" customWidth="1"/>
    <col min="6466" max="6466" width="10.85546875" style="15" customWidth="1"/>
    <col min="6467" max="6476" width="9.140625" style="15"/>
    <col min="6477" max="6477" width="21.28515625" style="15" customWidth="1"/>
    <col min="6478" max="6478" width="17" style="15" customWidth="1"/>
    <col min="6479" max="6695" width="9.140625" style="15"/>
    <col min="6696" max="6696" width="10" style="15" bestFit="1" customWidth="1"/>
    <col min="6697" max="6698" width="10" style="15" customWidth="1"/>
    <col min="6699" max="6699" width="10.28515625" style="15" customWidth="1"/>
    <col min="6700" max="6700" width="9.140625" style="15"/>
    <col min="6701" max="6701" width="11.5703125" style="15" customWidth="1"/>
    <col min="6702" max="6702" width="9.5703125" style="15" customWidth="1"/>
    <col min="6703" max="6703" width="8.28515625" style="15" bestFit="1" customWidth="1"/>
    <col min="6704" max="6704" width="13.7109375" style="15" customWidth="1"/>
    <col min="6705" max="6705" width="8.5703125" style="15" bestFit="1" customWidth="1"/>
    <col min="6706" max="6706" width="6.85546875" style="15" bestFit="1" customWidth="1"/>
    <col min="6707" max="6707" width="8.42578125" style="15" customWidth="1"/>
    <col min="6708" max="6708" width="10.28515625" style="15" customWidth="1"/>
    <col min="6709" max="6709" width="9" style="15" bestFit="1" customWidth="1"/>
    <col min="6710" max="6710" width="8.28515625" style="15" customWidth="1"/>
    <col min="6711" max="6711" width="7.7109375" style="15" customWidth="1"/>
    <col min="6712" max="6712" width="8.42578125" style="15" customWidth="1"/>
    <col min="6713" max="6713" width="14.28515625" style="15" customWidth="1"/>
    <col min="6714" max="6714" width="10.85546875" style="15" customWidth="1"/>
    <col min="6715" max="6715" width="7.5703125" style="15" customWidth="1"/>
    <col min="6716" max="6716" width="9" style="15" customWidth="1"/>
    <col min="6717" max="6717" width="11.140625" style="15" customWidth="1"/>
    <col min="6718" max="6718" width="9.42578125" style="15" customWidth="1"/>
    <col min="6719" max="6719" width="7.7109375" style="15" bestFit="1" customWidth="1"/>
    <col min="6720" max="6720" width="6.85546875" style="15" bestFit="1" customWidth="1"/>
    <col min="6721" max="6721" width="10.42578125" style="15" customWidth="1"/>
    <col min="6722" max="6722" width="10.85546875" style="15" customWidth="1"/>
    <col min="6723" max="6732" width="9.140625" style="15"/>
    <col min="6733" max="6733" width="21.28515625" style="15" customWidth="1"/>
    <col min="6734" max="6734" width="17" style="15" customWidth="1"/>
    <col min="6735" max="6951" width="9.140625" style="15"/>
    <col min="6952" max="6952" width="10" style="15" bestFit="1" customWidth="1"/>
    <col min="6953" max="6954" width="10" style="15" customWidth="1"/>
    <col min="6955" max="6955" width="10.28515625" style="15" customWidth="1"/>
    <col min="6956" max="6956" width="9.140625" style="15"/>
    <col min="6957" max="6957" width="11.5703125" style="15" customWidth="1"/>
    <col min="6958" max="6958" width="9.5703125" style="15" customWidth="1"/>
    <col min="6959" max="6959" width="8.28515625" style="15" bestFit="1" customWidth="1"/>
    <col min="6960" max="6960" width="13.7109375" style="15" customWidth="1"/>
    <col min="6961" max="6961" width="8.5703125" style="15" bestFit="1" customWidth="1"/>
    <col min="6962" max="6962" width="6.85546875" style="15" bestFit="1" customWidth="1"/>
    <col min="6963" max="6963" width="8.42578125" style="15" customWidth="1"/>
    <col min="6964" max="6964" width="10.28515625" style="15" customWidth="1"/>
    <col min="6965" max="6965" width="9" style="15" bestFit="1" customWidth="1"/>
    <col min="6966" max="6966" width="8.28515625" style="15" customWidth="1"/>
    <col min="6967" max="6967" width="7.7109375" style="15" customWidth="1"/>
    <col min="6968" max="6968" width="8.42578125" style="15" customWidth="1"/>
    <col min="6969" max="6969" width="14.28515625" style="15" customWidth="1"/>
    <col min="6970" max="6970" width="10.85546875" style="15" customWidth="1"/>
    <col min="6971" max="6971" width="7.5703125" style="15" customWidth="1"/>
    <col min="6972" max="6972" width="9" style="15" customWidth="1"/>
    <col min="6973" max="6973" width="11.140625" style="15" customWidth="1"/>
    <col min="6974" max="6974" width="9.42578125" style="15" customWidth="1"/>
    <col min="6975" max="6975" width="7.7109375" style="15" bestFit="1" customWidth="1"/>
    <col min="6976" max="6976" width="6.85546875" style="15" bestFit="1" customWidth="1"/>
    <col min="6977" max="6977" width="10.42578125" style="15" customWidth="1"/>
    <col min="6978" max="6978" width="10.85546875" style="15" customWidth="1"/>
    <col min="6979" max="6988" width="9.140625" style="15"/>
    <col min="6989" max="6989" width="21.28515625" style="15" customWidth="1"/>
    <col min="6990" max="6990" width="17" style="15" customWidth="1"/>
    <col min="6991" max="7207" width="9.140625" style="15"/>
    <col min="7208" max="7208" width="10" style="15" bestFit="1" customWidth="1"/>
    <col min="7209" max="7210" width="10" style="15" customWidth="1"/>
    <col min="7211" max="7211" width="10.28515625" style="15" customWidth="1"/>
    <col min="7212" max="7212" width="9.140625" style="15"/>
    <col min="7213" max="7213" width="11.5703125" style="15" customWidth="1"/>
    <col min="7214" max="7214" width="9.5703125" style="15" customWidth="1"/>
    <col min="7215" max="7215" width="8.28515625" style="15" bestFit="1" customWidth="1"/>
    <col min="7216" max="7216" width="13.7109375" style="15" customWidth="1"/>
    <col min="7217" max="7217" width="8.5703125" style="15" bestFit="1" customWidth="1"/>
    <col min="7218" max="7218" width="6.85546875" style="15" bestFit="1" customWidth="1"/>
    <col min="7219" max="7219" width="8.42578125" style="15" customWidth="1"/>
    <col min="7220" max="7220" width="10.28515625" style="15" customWidth="1"/>
    <col min="7221" max="7221" width="9" style="15" bestFit="1" customWidth="1"/>
    <col min="7222" max="7222" width="8.28515625" style="15" customWidth="1"/>
    <col min="7223" max="7223" width="7.7109375" style="15" customWidth="1"/>
    <col min="7224" max="7224" width="8.42578125" style="15" customWidth="1"/>
    <col min="7225" max="7225" width="14.28515625" style="15" customWidth="1"/>
    <col min="7226" max="7226" width="10.85546875" style="15" customWidth="1"/>
    <col min="7227" max="7227" width="7.5703125" style="15" customWidth="1"/>
    <col min="7228" max="7228" width="9" style="15" customWidth="1"/>
    <col min="7229" max="7229" width="11.140625" style="15" customWidth="1"/>
    <col min="7230" max="7230" width="9.42578125" style="15" customWidth="1"/>
    <col min="7231" max="7231" width="7.7109375" style="15" bestFit="1" customWidth="1"/>
    <col min="7232" max="7232" width="6.85546875" style="15" bestFit="1" customWidth="1"/>
    <col min="7233" max="7233" width="10.42578125" style="15" customWidth="1"/>
    <col min="7234" max="7234" width="10.85546875" style="15" customWidth="1"/>
    <col min="7235" max="7244" width="9.140625" style="15"/>
    <col min="7245" max="7245" width="21.28515625" style="15" customWidth="1"/>
    <col min="7246" max="7246" width="17" style="15" customWidth="1"/>
    <col min="7247" max="7463" width="9.140625" style="15"/>
    <col min="7464" max="7464" width="10" style="15" bestFit="1" customWidth="1"/>
    <col min="7465" max="7466" width="10" style="15" customWidth="1"/>
    <col min="7467" max="7467" width="10.28515625" style="15" customWidth="1"/>
    <col min="7468" max="7468" width="9.140625" style="15"/>
    <col min="7469" max="7469" width="11.5703125" style="15" customWidth="1"/>
    <col min="7470" max="7470" width="9.5703125" style="15" customWidth="1"/>
    <col min="7471" max="7471" width="8.28515625" style="15" bestFit="1" customWidth="1"/>
    <col min="7472" max="7472" width="13.7109375" style="15" customWidth="1"/>
    <col min="7473" max="7473" width="8.5703125" style="15" bestFit="1" customWidth="1"/>
    <col min="7474" max="7474" width="6.85546875" style="15" bestFit="1" customWidth="1"/>
    <col min="7475" max="7475" width="8.42578125" style="15" customWidth="1"/>
    <col min="7476" max="7476" width="10.28515625" style="15" customWidth="1"/>
    <col min="7477" max="7477" width="9" style="15" bestFit="1" customWidth="1"/>
    <col min="7478" max="7478" width="8.28515625" style="15" customWidth="1"/>
    <col min="7479" max="7479" width="7.7109375" style="15" customWidth="1"/>
    <col min="7480" max="7480" width="8.42578125" style="15" customWidth="1"/>
    <col min="7481" max="7481" width="14.28515625" style="15" customWidth="1"/>
    <col min="7482" max="7482" width="10.85546875" style="15" customWidth="1"/>
    <col min="7483" max="7483" width="7.5703125" style="15" customWidth="1"/>
    <col min="7484" max="7484" width="9" style="15" customWidth="1"/>
    <col min="7485" max="7485" width="11.140625" style="15" customWidth="1"/>
    <col min="7486" max="7486" width="9.42578125" style="15" customWidth="1"/>
    <col min="7487" max="7487" width="7.7109375" style="15" bestFit="1" customWidth="1"/>
    <col min="7488" max="7488" width="6.85546875" style="15" bestFit="1" customWidth="1"/>
    <col min="7489" max="7489" width="10.42578125" style="15" customWidth="1"/>
    <col min="7490" max="7490" width="10.85546875" style="15" customWidth="1"/>
    <col min="7491" max="7500" width="9.140625" style="15"/>
    <col min="7501" max="7501" width="21.28515625" style="15" customWidth="1"/>
    <col min="7502" max="7502" width="17" style="15" customWidth="1"/>
    <col min="7503" max="7719" width="9.140625" style="15"/>
    <col min="7720" max="7720" width="10" style="15" bestFit="1" customWidth="1"/>
    <col min="7721" max="7722" width="10" style="15" customWidth="1"/>
    <col min="7723" max="7723" width="10.28515625" style="15" customWidth="1"/>
    <col min="7724" max="7724" width="9.140625" style="15"/>
    <col min="7725" max="7725" width="11.5703125" style="15" customWidth="1"/>
    <col min="7726" max="7726" width="9.5703125" style="15" customWidth="1"/>
    <col min="7727" max="7727" width="8.28515625" style="15" bestFit="1" customWidth="1"/>
    <col min="7728" max="7728" width="13.7109375" style="15" customWidth="1"/>
    <col min="7729" max="7729" width="8.5703125" style="15" bestFit="1" customWidth="1"/>
    <col min="7730" max="7730" width="6.85546875" style="15" bestFit="1" customWidth="1"/>
    <col min="7731" max="7731" width="8.42578125" style="15" customWidth="1"/>
    <col min="7732" max="7732" width="10.28515625" style="15" customWidth="1"/>
    <col min="7733" max="7733" width="9" style="15" bestFit="1" customWidth="1"/>
    <col min="7734" max="7734" width="8.28515625" style="15" customWidth="1"/>
    <col min="7735" max="7735" width="7.7109375" style="15" customWidth="1"/>
    <col min="7736" max="7736" width="8.42578125" style="15" customWidth="1"/>
    <col min="7737" max="7737" width="14.28515625" style="15" customWidth="1"/>
    <col min="7738" max="7738" width="10.85546875" style="15" customWidth="1"/>
    <col min="7739" max="7739" width="7.5703125" style="15" customWidth="1"/>
    <col min="7740" max="7740" width="9" style="15" customWidth="1"/>
    <col min="7741" max="7741" width="11.140625" style="15" customWidth="1"/>
    <col min="7742" max="7742" width="9.42578125" style="15" customWidth="1"/>
    <col min="7743" max="7743" width="7.7109375" style="15" bestFit="1" customWidth="1"/>
    <col min="7744" max="7744" width="6.85546875" style="15" bestFit="1" customWidth="1"/>
    <col min="7745" max="7745" width="10.42578125" style="15" customWidth="1"/>
    <col min="7746" max="7746" width="10.85546875" style="15" customWidth="1"/>
    <col min="7747" max="7756" width="9.140625" style="15"/>
    <col min="7757" max="7757" width="21.28515625" style="15" customWidth="1"/>
    <col min="7758" max="7758" width="17" style="15" customWidth="1"/>
    <col min="7759" max="7975" width="9.140625" style="15"/>
    <col min="7976" max="7976" width="10" style="15" bestFit="1" customWidth="1"/>
    <col min="7977" max="7978" width="10" style="15" customWidth="1"/>
    <col min="7979" max="7979" width="10.28515625" style="15" customWidth="1"/>
    <col min="7980" max="7980" width="9.140625" style="15"/>
    <col min="7981" max="7981" width="11.5703125" style="15" customWidth="1"/>
    <col min="7982" max="7982" width="9.5703125" style="15" customWidth="1"/>
    <col min="7983" max="7983" width="8.28515625" style="15" bestFit="1" customWidth="1"/>
    <col min="7984" max="7984" width="13.7109375" style="15" customWidth="1"/>
    <col min="7985" max="7985" width="8.5703125" style="15" bestFit="1" customWidth="1"/>
    <col min="7986" max="7986" width="6.85546875" style="15" bestFit="1" customWidth="1"/>
    <col min="7987" max="7987" width="8.42578125" style="15" customWidth="1"/>
    <col min="7988" max="7988" width="10.28515625" style="15" customWidth="1"/>
    <col min="7989" max="7989" width="9" style="15" bestFit="1" customWidth="1"/>
    <col min="7990" max="7990" width="8.28515625" style="15" customWidth="1"/>
    <col min="7991" max="7991" width="7.7109375" style="15" customWidth="1"/>
    <col min="7992" max="7992" width="8.42578125" style="15" customWidth="1"/>
    <col min="7993" max="7993" width="14.28515625" style="15" customWidth="1"/>
    <col min="7994" max="7994" width="10.85546875" style="15" customWidth="1"/>
    <col min="7995" max="7995" width="7.5703125" style="15" customWidth="1"/>
    <col min="7996" max="7996" width="9" style="15" customWidth="1"/>
    <col min="7997" max="7997" width="11.140625" style="15" customWidth="1"/>
    <col min="7998" max="7998" width="9.42578125" style="15" customWidth="1"/>
    <col min="7999" max="7999" width="7.7109375" style="15" bestFit="1" customWidth="1"/>
    <col min="8000" max="8000" width="6.85546875" style="15" bestFit="1" customWidth="1"/>
    <col min="8001" max="8001" width="10.42578125" style="15" customWidth="1"/>
    <col min="8002" max="8002" width="10.85546875" style="15" customWidth="1"/>
    <col min="8003" max="8012" width="9.140625" style="15"/>
    <col min="8013" max="8013" width="21.28515625" style="15" customWidth="1"/>
    <col min="8014" max="8014" width="17" style="15" customWidth="1"/>
    <col min="8015" max="8231" width="9.140625" style="15"/>
    <col min="8232" max="8232" width="10" style="15" bestFit="1" customWidth="1"/>
    <col min="8233" max="8234" width="10" style="15" customWidth="1"/>
    <col min="8235" max="8235" width="10.28515625" style="15" customWidth="1"/>
    <col min="8236" max="8236" width="9.140625" style="15"/>
    <col min="8237" max="8237" width="11.5703125" style="15" customWidth="1"/>
    <col min="8238" max="8238" width="9.5703125" style="15" customWidth="1"/>
    <col min="8239" max="8239" width="8.28515625" style="15" bestFit="1" customWidth="1"/>
    <col min="8240" max="8240" width="13.7109375" style="15" customWidth="1"/>
    <col min="8241" max="8241" width="8.5703125" style="15" bestFit="1" customWidth="1"/>
    <col min="8242" max="8242" width="6.85546875" style="15" bestFit="1" customWidth="1"/>
    <col min="8243" max="8243" width="8.42578125" style="15" customWidth="1"/>
    <col min="8244" max="8244" width="10.28515625" style="15" customWidth="1"/>
    <col min="8245" max="8245" width="9" style="15" bestFit="1" customWidth="1"/>
    <col min="8246" max="8246" width="8.28515625" style="15" customWidth="1"/>
    <col min="8247" max="8247" width="7.7109375" style="15" customWidth="1"/>
    <col min="8248" max="8248" width="8.42578125" style="15" customWidth="1"/>
    <col min="8249" max="8249" width="14.28515625" style="15" customWidth="1"/>
    <col min="8250" max="8250" width="10.85546875" style="15" customWidth="1"/>
    <col min="8251" max="8251" width="7.5703125" style="15" customWidth="1"/>
    <col min="8252" max="8252" width="9" style="15" customWidth="1"/>
    <col min="8253" max="8253" width="11.140625" style="15" customWidth="1"/>
    <col min="8254" max="8254" width="9.42578125" style="15" customWidth="1"/>
    <col min="8255" max="8255" width="7.7109375" style="15" bestFit="1" customWidth="1"/>
    <col min="8256" max="8256" width="6.85546875" style="15" bestFit="1" customWidth="1"/>
    <col min="8257" max="8257" width="10.42578125" style="15" customWidth="1"/>
    <col min="8258" max="8258" width="10.85546875" style="15" customWidth="1"/>
    <col min="8259" max="8268" width="9.140625" style="15"/>
    <col min="8269" max="8269" width="21.28515625" style="15" customWidth="1"/>
    <col min="8270" max="8270" width="17" style="15" customWidth="1"/>
    <col min="8271" max="8487" width="9.140625" style="15"/>
    <col min="8488" max="8488" width="10" style="15" bestFit="1" customWidth="1"/>
    <col min="8489" max="8490" width="10" style="15" customWidth="1"/>
    <col min="8491" max="8491" width="10.28515625" style="15" customWidth="1"/>
    <col min="8492" max="8492" width="9.140625" style="15"/>
    <col min="8493" max="8493" width="11.5703125" style="15" customWidth="1"/>
    <col min="8494" max="8494" width="9.5703125" style="15" customWidth="1"/>
    <col min="8495" max="8495" width="8.28515625" style="15" bestFit="1" customWidth="1"/>
    <col min="8496" max="8496" width="13.7109375" style="15" customWidth="1"/>
    <col min="8497" max="8497" width="8.5703125" style="15" bestFit="1" customWidth="1"/>
    <col min="8498" max="8498" width="6.85546875" style="15" bestFit="1" customWidth="1"/>
    <col min="8499" max="8499" width="8.42578125" style="15" customWidth="1"/>
    <col min="8500" max="8500" width="10.28515625" style="15" customWidth="1"/>
    <col min="8501" max="8501" width="9" style="15" bestFit="1" customWidth="1"/>
    <col min="8502" max="8502" width="8.28515625" style="15" customWidth="1"/>
    <col min="8503" max="8503" width="7.7109375" style="15" customWidth="1"/>
    <col min="8504" max="8504" width="8.42578125" style="15" customWidth="1"/>
    <col min="8505" max="8505" width="14.28515625" style="15" customWidth="1"/>
    <col min="8506" max="8506" width="10.85546875" style="15" customWidth="1"/>
    <col min="8507" max="8507" width="7.5703125" style="15" customWidth="1"/>
    <col min="8508" max="8508" width="9" style="15" customWidth="1"/>
    <col min="8509" max="8509" width="11.140625" style="15" customWidth="1"/>
    <col min="8510" max="8510" width="9.42578125" style="15" customWidth="1"/>
    <col min="8511" max="8511" width="7.7109375" style="15" bestFit="1" customWidth="1"/>
    <col min="8512" max="8512" width="6.85546875" style="15" bestFit="1" customWidth="1"/>
    <col min="8513" max="8513" width="10.42578125" style="15" customWidth="1"/>
    <col min="8514" max="8514" width="10.85546875" style="15" customWidth="1"/>
    <col min="8515" max="8524" width="9.140625" style="15"/>
    <col min="8525" max="8525" width="21.28515625" style="15" customWidth="1"/>
    <col min="8526" max="8526" width="17" style="15" customWidth="1"/>
    <col min="8527" max="8743" width="9.140625" style="15"/>
    <col min="8744" max="8744" width="10" style="15" bestFit="1" customWidth="1"/>
    <col min="8745" max="8746" width="10" style="15" customWidth="1"/>
    <col min="8747" max="8747" width="10.28515625" style="15" customWidth="1"/>
    <col min="8748" max="8748" width="9.140625" style="15"/>
    <col min="8749" max="8749" width="11.5703125" style="15" customWidth="1"/>
    <col min="8750" max="8750" width="9.5703125" style="15" customWidth="1"/>
    <col min="8751" max="8751" width="8.28515625" style="15" bestFit="1" customWidth="1"/>
    <col min="8752" max="8752" width="13.7109375" style="15" customWidth="1"/>
    <col min="8753" max="8753" width="8.5703125" style="15" bestFit="1" customWidth="1"/>
    <col min="8754" max="8754" width="6.85546875" style="15" bestFit="1" customWidth="1"/>
    <col min="8755" max="8755" width="8.42578125" style="15" customWidth="1"/>
    <col min="8756" max="8756" width="10.28515625" style="15" customWidth="1"/>
    <col min="8757" max="8757" width="9" style="15" bestFit="1" customWidth="1"/>
    <col min="8758" max="8758" width="8.28515625" style="15" customWidth="1"/>
    <col min="8759" max="8759" width="7.7109375" style="15" customWidth="1"/>
    <col min="8760" max="8760" width="8.42578125" style="15" customWidth="1"/>
    <col min="8761" max="8761" width="14.28515625" style="15" customWidth="1"/>
    <col min="8762" max="8762" width="10.85546875" style="15" customWidth="1"/>
    <col min="8763" max="8763" width="7.5703125" style="15" customWidth="1"/>
    <col min="8764" max="8764" width="9" style="15" customWidth="1"/>
    <col min="8765" max="8765" width="11.140625" style="15" customWidth="1"/>
    <col min="8766" max="8766" width="9.42578125" style="15" customWidth="1"/>
    <col min="8767" max="8767" width="7.7109375" style="15" bestFit="1" customWidth="1"/>
    <col min="8768" max="8768" width="6.85546875" style="15" bestFit="1" customWidth="1"/>
    <col min="8769" max="8769" width="10.42578125" style="15" customWidth="1"/>
    <col min="8770" max="8770" width="10.85546875" style="15" customWidth="1"/>
    <col min="8771" max="8780" width="9.140625" style="15"/>
    <col min="8781" max="8781" width="21.28515625" style="15" customWidth="1"/>
    <col min="8782" max="8782" width="17" style="15" customWidth="1"/>
    <col min="8783" max="8999" width="9.140625" style="15"/>
    <col min="9000" max="9000" width="10" style="15" bestFit="1" customWidth="1"/>
    <col min="9001" max="9002" width="10" style="15" customWidth="1"/>
    <col min="9003" max="9003" width="10.28515625" style="15" customWidth="1"/>
    <col min="9004" max="9004" width="9.140625" style="15"/>
    <col min="9005" max="9005" width="11.5703125" style="15" customWidth="1"/>
    <col min="9006" max="9006" width="9.5703125" style="15" customWidth="1"/>
    <col min="9007" max="9007" width="8.28515625" style="15" bestFit="1" customWidth="1"/>
    <col min="9008" max="9008" width="13.7109375" style="15" customWidth="1"/>
    <col min="9009" max="9009" width="8.5703125" style="15" bestFit="1" customWidth="1"/>
    <col min="9010" max="9010" width="6.85546875" style="15" bestFit="1" customWidth="1"/>
    <col min="9011" max="9011" width="8.42578125" style="15" customWidth="1"/>
    <col min="9012" max="9012" width="10.28515625" style="15" customWidth="1"/>
    <col min="9013" max="9013" width="9" style="15" bestFit="1" customWidth="1"/>
    <col min="9014" max="9014" width="8.28515625" style="15" customWidth="1"/>
    <col min="9015" max="9015" width="7.7109375" style="15" customWidth="1"/>
    <col min="9016" max="9016" width="8.42578125" style="15" customWidth="1"/>
    <col min="9017" max="9017" width="14.28515625" style="15" customWidth="1"/>
    <col min="9018" max="9018" width="10.85546875" style="15" customWidth="1"/>
    <col min="9019" max="9019" width="7.5703125" style="15" customWidth="1"/>
    <col min="9020" max="9020" width="9" style="15" customWidth="1"/>
    <col min="9021" max="9021" width="11.140625" style="15" customWidth="1"/>
    <col min="9022" max="9022" width="9.42578125" style="15" customWidth="1"/>
    <col min="9023" max="9023" width="7.7109375" style="15" bestFit="1" customWidth="1"/>
    <col min="9024" max="9024" width="6.85546875" style="15" bestFit="1" customWidth="1"/>
    <col min="9025" max="9025" width="10.42578125" style="15" customWidth="1"/>
    <col min="9026" max="9026" width="10.85546875" style="15" customWidth="1"/>
    <col min="9027" max="9036" width="9.140625" style="15"/>
    <col min="9037" max="9037" width="21.28515625" style="15" customWidth="1"/>
    <col min="9038" max="9038" width="17" style="15" customWidth="1"/>
    <col min="9039" max="9255" width="9.140625" style="15"/>
    <col min="9256" max="9256" width="10" style="15" bestFit="1" customWidth="1"/>
    <col min="9257" max="9258" width="10" style="15" customWidth="1"/>
    <col min="9259" max="9259" width="10.28515625" style="15" customWidth="1"/>
    <col min="9260" max="9260" width="9.140625" style="15"/>
    <col min="9261" max="9261" width="11.5703125" style="15" customWidth="1"/>
    <col min="9262" max="9262" width="9.5703125" style="15" customWidth="1"/>
    <col min="9263" max="9263" width="8.28515625" style="15" bestFit="1" customWidth="1"/>
    <col min="9264" max="9264" width="13.7109375" style="15" customWidth="1"/>
    <col min="9265" max="9265" width="8.5703125" style="15" bestFit="1" customWidth="1"/>
    <col min="9266" max="9266" width="6.85546875" style="15" bestFit="1" customWidth="1"/>
    <col min="9267" max="9267" width="8.42578125" style="15" customWidth="1"/>
    <col min="9268" max="9268" width="10.28515625" style="15" customWidth="1"/>
    <col min="9269" max="9269" width="9" style="15" bestFit="1" customWidth="1"/>
    <col min="9270" max="9270" width="8.28515625" style="15" customWidth="1"/>
    <col min="9271" max="9271" width="7.7109375" style="15" customWidth="1"/>
    <col min="9272" max="9272" width="8.42578125" style="15" customWidth="1"/>
    <col min="9273" max="9273" width="14.28515625" style="15" customWidth="1"/>
    <col min="9274" max="9274" width="10.85546875" style="15" customWidth="1"/>
    <col min="9275" max="9275" width="7.5703125" style="15" customWidth="1"/>
    <col min="9276" max="9276" width="9" style="15" customWidth="1"/>
    <col min="9277" max="9277" width="11.140625" style="15" customWidth="1"/>
    <col min="9278" max="9278" width="9.42578125" style="15" customWidth="1"/>
    <col min="9279" max="9279" width="7.7109375" style="15" bestFit="1" customWidth="1"/>
    <col min="9280" max="9280" width="6.85546875" style="15" bestFit="1" customWidth="1"/>
    <col min="9281" max="9281" width="10.42578125" style="15" customWidth="1"/>
    <col min="9282" max="9282" width="10.85546875" style="15" customWidth="1"/>
    <col min="9283" max="9292" width="9.140625" style="15"/>
    <col min="9293" max="9293" width="21.28515625" style="15" customWidth="1"/>
    <col min="9294" max="9294" width="17" style="15" customWidth="1"/>
    <col min="9295" max="9511" width="9.140625" style="15"/>
    <col min="9512" max="9512" width="10" style="15" bestFit="1" customWidth="1"/>
    <col min="9513" max="9514" width="10" style="15" customWidth="1"/>
    <col min="9515" max="9515" width="10.28515625" style="15" customWidth="1"/>
    <col min="9516" max="9516" width="9.140625" style="15"/>
    <col min="9517" max="9517" width="11.5703125" style="15" customWidth="1"/>
    <col min="9518" max="9518" width="9.5703125" style="15" customWidth="1"/>
    <col min="9519" max="9519" width="8.28515625" style="15" bestFit="1" customWidth="1"/>
    <col min="9520" max="9520" width="13.7109375" style="15" customWidth="1"/>
    <col min="9521" max="9521" width="8.5703125" style="15" bestFit="1" customWidth="1"/>
    <col min="9522" max="9522" width="6.85546875" style="15" bestFit="1" customWidth="1"/>
    <col min="9523" max="9523" width="8.42578125" style="15" customWidth="1"/>
    <col min="9524" max="9524" width="10.28515625" style="15" customWidth="1"/>
    <col min="9525" max="9525" width="9" style="15" bestFit="1" customWidth="1"/>
    <col min="9526" max="9526" width="8.28515625" style="15" customWidth="1"/>
    <col min="9527" max="9527" width="7.7109375" style="15" customWidth="1"/>
    <col min="9528" max="9528" width="8.42578125" style="15" customWidth="1"/>
    <col min="9529" max="9529" width="14.28515625" style="15" customWidth="1"/>
    <col min="9530" max="9530" width="10.85546875" style="15" customWidth="1"/>
    <col min="9531" max="9531" width="7.5703125" style="15" customWidth="1"/>
    <col min="9532" max="9532" width="9" style="15" customWidth="1"/>
    <col min="9533" max="9533" width="11.140625" style="15" customWidth="1"/>
    <col min="9534" max="9534" width="9.42578125" style="15" customWidth="1"/>
    <col min="9535" max="9535" width="7.7109375" style="15" bestFit="1" customWidth="1"/>
    <col min="9536" max="9536" width="6.85546875" style="15" bestFit="1" customWidth="1"/>
    <col min="9537" max="9537" width="10.42578125" style="15" customWidth="1"/>
    <col min="9538" max="9538" width="10.85546875" style="15" customWidth="1"/>
    <col min="9539" max="9548" width="9.140625" style="15"/>
    <col min="9549" max="9549" width="21.28515625" style="15" customWidth="1"/>
    <col min="9550" max="9550" width="17" style="15" customWidth="1"/>
    <col min="9551" max="9767" width="9.140625" style="15"/>
    <col min="9768" max="9768" width="10" style="15" bestFit="1" customWidth="1"/>
    <col min="9769" max="9770" width="10" style="15" customWidth="1"/>
    <col min="9771" max="9771" width="10.28515625" style="15" customWidth="1"/>
    <col min="9772" max="9772" width="9.140625" style="15"/>
    <col min="9773" max="9773" width="11.5703125" style="15" customWidth="1"/>
    <col min="9774" max="9774" width="9.5703125" style="15" customWidth="1"/>
    <col min="9775" max="9775" width="8.28515625" style="15" bestFit="1" customWidth="1"/>
    <col min="9776" max="9776" width="13.7109375" style="15" customWidth="1"/>
    <col min="9777" max="9777" width="8.5703125" style="15" bestFit="1" customWidth="1"/>
    <col min="9778" max="9778" width="6.85546875" style="15" bestFit="1" customWidth="1"/>
    <col min="9779" max="9779" width="8.42578125" style="15" customWidth="1"/>
    <col min="9780" max="9780" width="10.28515625" style="15" customWidth="1"/>
    <col min="9781" max="9781" width="9" style="15" bestFit="1" customWidth="1"/>
    <col min="9782" max="9782" width="8.28515625" style="15" customWidth="1"/>
    <col min="9783" max="9783" width="7.7109375" style="15" customWidth="1"/>
    <col min="9784" max="9784" width="8.42578125" style="15" customWidth="1"/>
    <col min="9785" max="9785" width="14.28515625" style="15" customWidth="1"/>
    <col min="9786" max="9786" width="10.85546875" style="15" customWidth="1"/>
    <col min="9787" max="9787" width="7.5703125" style="15" customWidth="1"/>
    <col min="9788" max="9788" width="9" style="15" customWidth="1"/>
    <col min="9789" max="9789" width="11.140625" style="15" customWidth="1"/>
    <col min="9790" max="9790" width="9.42578125" style="15" customWidth="1"/>
    <col min="9791" max="9791" width="7.7109375" style="15" bestFit="1" customWidth="1"/>
    <col min="9792" max="9792" width="6.85546875" style="15" bestFit="1" customWidth="1"/>
    <col min="9793" max="9793" width="10.42578125" style="15" customWidth="1"/>
    <col min="9794" max="9794" width="10.85546875" style="15" customWidth="1"/>
    <col min="9795" max="9804" width="9.140625" style="15"/>
    <col min="9805" max="9805" width="21.28515625" style="15" customWidth="1"/>
    <col min="9806" max="9806" width="17" style="15" customWidth="1"/>
    <col min="9807" max="10023" width="9.140625" style="15"/>
    <col min="10024" max="10024" width="10" style="15" bestFit="1" customWidth="1"/>
    <col min="10025" max="10026" width="10" style="15" customWidth="1"/>
    <col min="10027" max="10027" width="10.28515625" style="15" customWidth="1"/>
    <col min="10028" max="10028" width="9.140625" style="15"/>
    <col min="10029" max="10029" width="11.5703125" style="15" customWidth="1"/>
    <col min="10030" max="10030" width="9.5703125" style="15" customWidth="1"/>
    <col min="10031" max="10031" width="8.28515625" style="15" bestFit="1" customWidth="1"/>
    <col min="10032" max="10032" width="13.7109375" style="15" customWidth="1"/>
    <col min="10033" max="10033" width="8.5703125" style="15" bestFit="1" customWidth="1"/>
    <col min="10034" max="10034" width="6.85546875" style="15" bestFit="1" customWidth="1"/>
    <col min="10035" max="10035" width="8.42578125" style="15" customWidth="1"/>
    <col min="10036" max="10036" width="10.28515625" style="15" customWidth="1"/>
    <col min="10037" max="10037" width="9" style="15" bestFit="1" customWidth="1"/>
    <col min="10038" max="10038" width="8.28515625" style="15" customWidth="1"/>
    <col min="10039" max="10039" width="7.7109375" style="15" customWidth="1"/>
    <col min="10040" max="10040" width="8.42578125" style="15" customWidth="1"/>
    <col min="10041" max="10041" width="14.28515625" style="15" customWidth="1"/>
    <col min="10042" max="10042" width="10.85546875" style="15" customWidth="1"/>
    <col min="10043" max="10043" width="7.5703125" style="15" customWidth="1"/>
    <col min="10044" max="10044" width="9" style="15" customWidth="1"/>
    <col min="10045" max="10045" width="11.140625" style="15" customWidth="1"/>
    <col min="10046" max="10046" width="9.42578125" style="15" customWidth="1"/>
    <col min="10047" max="10047" width="7.7109375" style="15" bestFit="1" customWidth="1"/>
    <col min="10048" max="10048" width="6.85546875" style="15" bestFit="1" customWidth="1"/>
    <col min="10049" max="10049" width="10.42578125" style="15" customWidth="1"/>
    <col min="10050" max="10050" width="10.85546875" style="15" customWidth="1"/>
    <col min="10051" max="10060" width="9.140625" style="15"/>
    <col min="10061" max="10061" width="21.28515625" style="15" customWidth="1"/>
    <col min="10062" max="10062" width="17" style="15" customWidth="1"/>
    <col min="10063" max="10279" width="9.140625" style="15"/>
    <col min="10280" max="10280" width="10" style="15" bestFit="1" customWidth="1"/>
    <col min="10281" max="10282" width="10" style="15" customWidth="1"/>
    <col min="10283" max="10283" width="10.28515625" style="15" customWidth="1"/>
    <col min="10284" max="10284" width="9.140625" style="15"/>
    <col min="10285" max="10285" width="11.5703125" style="15" customWidth="1"/>
    <col min="10286" max="10286" width="9.5703125" style="15" customWidth="1"/>
    <col min="10287" max="10287" width="8.28515625" style="15" bestFit="1" customWidth="1"/>
    <col min="10288" max="10288" width="13.7109375" style="15" customWidth="1"/>
    <col min="10289" max="10289" width="8.5703125" style="15" bestFit="1" customWidth="1"/>
    <col min="10290" max="10290" width="6.85546875" style="15" bestFit="1" customWidth="1"/>
    <col min="10291" max="10291" width="8.42578125" style="15" customWidth="1"/>
    <col min="10292" max="10292" width="10.28515625" style="15" customWidth="1"/>
    <col min="10293" max="10293" width="9" style="15" bestFit="1" customWidth="1"/>
    <col min="10294" max="10294" width="8.28515625" style="15" customWidth="1"/>
    <col min="10295" max="10295" width="7.7109375" style="15" customWidth="1"/>
    <col min="10296" max="10296" width="8.42578125" style="15" customWidth="1"/>
    <col min="10297" max="10297" width="14.28515625" style="15" customWidth="1"/>
    <col min="10298" max="10298" width="10.85546875" style="15" customWidth="1"/>
    <col min="10299" max="10299" width="7.5703125" style="15" customWidth="1"/>
    <col min="10300" max="10300" width="9" style="15" customWidth="1"/>
    <col min="10301" max="10301" width="11.140625" style="15" customWidth="1"/>
    <col min="10302" max="10302" width="9.42578125" style="15" customWidth="1"/>
    <col min="10303" max="10303" width="7.7109375" style="15" bestFit="1" customWidth="1"/>
    <col min="10304" max="10304" width="6.85546875" style="15" bestFit="1" customWidth="1"/>
    <col min="10305" max="10305" width="10.42578125" style="15" customWidth="1"/>
    <col min="10306" max="10306" width="10.85546875" style="15" customWidth="1"/>
    <col min="10307" max="10316" width="9.140625" style="15"/>
    <col min="10317" max="10317" width="21.28515625" style="15" customWidth="1"/>
    <col min="10318" max="10318" width="17" style="15" customWidth="1"/>
    <col min="10319" max="10535" width="9.140625" style="15"/>
    <col min="10536" max="10536" width="10" style="15" bestFit="1" customWidth="1"/>
    <col min="10537" max="10538" width="10" style="15" customWidth="1"/>
    <col min="10539" max="10539" width="10.28515625" style="15" customWidth="1"/>
    <col min="10540" max="10540" width="9.140625" style="15"/>
    <col min="10541" max="10541" width="11.5703125" style="15" customWidth="1"/>
    <col min="10542" max="10542" width="9.5703125" style="15" customWidth="1"/>
    <col min="10543" max="10543" width="8.28515625" style="15" bestFit="1" customWidth="1"/>
    <col min="10544" max="10544" width="13.7109375" style="15" customWidth="1"/>
    <col min="10545" max="10545" width="8.5703125" style="15" bestFit="1" customWidth="1"/>
    <col min="10546" max="10546" width="6.85546875" style="15" bestFit="1" customWidth="1"/>
    <col min="10547" max="10547" width="8.42578125" style="15" customWidth="1"/>
    <col min="10548" max="10548" width="10.28515625" style="15" customWidth="1"/>
    <col min="10549" max="10549" width="9" style="15" bestFit="1" customWidth="1"/>
    <col min="10550" max="10550" width="8.28515625" style="15" customWidth="1"/>
    <col min="10551" max="10551" width="7.7109375" style="15" customWidth="1"/>
    <col min="10552" max="10552" width="8.42578125" style="15" customWidth="1"/>
    <col min="10553" max="10553" width="14.28515625" style="15" customWidth="1"/>
    <col min="10554" max="10554" width="10.85546875" style="15" customWidth="1"/>
    <col min="10555" max="10555" width="7.5703125" style="15" customWidth="1"/>
    <col min="10556" max="10556" width="9" style="15" customWidth="1"/>
    <col min="10557" max="10557" width="11.140625" style="15" customWidth="1"/>
    <col min="10558" max="10558" width="9.42578125" style="15" customWidth="1"/>
    <col min="10559" max="10559" width="7.7109375" style="15" bestFit="1" customWidth="1"/>
    <col min="10560" max="10560" width="6.85546875" style="15" bestFit="1" customWidth="1"/>
    <col min="10561" max="10561" width="10.42578125" style="15" customWidth="1"/>
    <col min="10562" max="10562" width="10.85546875" style="15" customWidth="1"/>
    <col min="10563" max="10572" width="9.140625" style="15"/>
    <col min="10573" max="10573" width="21.28515625" style="15" customWidth="1"/>
    <col min="10574" max="10574" width="17" style="15" customWidth="1"/>
    <col min="10575" max="10791" width="9.140625" style="15"/>
    <col min="10792" max="10792" width="10" style="15" bestFit="1" customWidth="1"/>
    <col min="10793" max="10794" width="10" style="15" customWidth="1"/>
    <col min="10795" max="10795" width="10.28515625" style="15" customWidth="1"/>
    <col min="10796" max="10796" width="9.140625" style="15"/>
    <col min="10797" max="10797" width="11.5703125" style="15" customWidth="1"/>
    <col min="10798" max="10798" width="9.5703125" style="15" customWidth="1"/>
    <col min="10799" max="10799" width="8.28515625" style="15" bestFit="1" customWidth="1"/>
    <col min="10800" max="10800" width="13.7109375" style="15" customWidth="1"/>
    <col min="10801" max="10801" width="8.5703125" style="15" bestFit="1" customWidth="1"/>
    <col min="10802" max="10802" width="6.85546875" style="15" bestFit="1" customWidth="1"/>
    <col min="10803" max="10803" width="8.42578125" style="15" customWidth="1"/>
    <col min="10804" max="10804" width="10.28515625" style="15" customWidth="1"/>
    <col min="10805" max="10805" width="9" style="15" bestFit="1" customWidth="1"/>
    <col min="10806" max="10806" width="8.28515625" style="15" customWidth="1"/>
    <col min="10807" max="10807" width="7.7109375" style="15" customWidth="1"/>
    <col min="10808" max="10808" width="8.42578125" style="15" customWidth="1"/>
    <col min="10809" max="10809" width="14.28515625" style="15" customWidth="1"/>
    <col min="10810" max="10810" width="10.85546875" style="15" customWidth="1"/>
    <col min="10811" max="10811" width="7.5703125" style="15" customWidth="1"/>
    <col min="10812" max="10812" width="9" style="15" customWidth="1"/>
    <col min="10813" max="10813" width="11.140625" style="15" customWidth="1"/>
    <col min="10814" max="10814" width="9.42578125" style="15" customWidth="1"/>
    <col min="10815" max="10815" width="7.7109375" style="15" bestFit="1" customWidth="1"/>
    <col min="10816" max="10816" width="6.85546875" style="15" bestFit="1" customWidth="1"/>
    <col min="10817" max="10817" width="10.42578125" style="15" customWidth="1"/>
    <col min="10818" max="10818" width="10.85546875" style="15" customWidth="1"/>
    <col min="10819" max="10828" width="9.140625" style="15"/>
    <col min="10829" max="10829" width="21.28515625" style="15" customWidth="1"/>
    <col min="10830" max="10830" width="17" style="15" customWidth="1"/>
    <col min="10831" max="11047" width="9.140625" style="15"/>
    <col min="11048" max="11048" width="10" style="15" bestFit="1" customWidth="1"/>
    <col min="11049" max="11050" width="10" style="15" customWidth="1"/>
    <col min="11051" max="11051" width="10.28515625" style="15" customWidth="1"/>
    <col min="11052" max="11052" width="9.140625" style="15"/>
    <col min="11053" max="11053" width="11.5703125" style="15" customWidth="1"/>
    <col min="11054" max="11054" width="9.5703125" style="15" customWidth="1"/>
    <col min="11055" max="11055" width="8.28515625" style="15" bestFit="1" customWidth="1"/>
    <col min="11056" max="11056" width="13.7109375" style="15" customWidth="1"/>
    <col min="11057" max="11057" width="8.5703125" style="15" bestFit="1" customWidth="1"/>
    <col min="11058" max="11058" width="6.85546875" style="15" bestFit="1" customWidth="1"/>
    <col min="11059" max="11059" width="8.42578125" style="15" customWidth="1"/>
    <col min="11060" max="11060" width="10.28515625" style="15" customWidth="1"/>
    <col min="11061" max="11061" width="9" style="15" bestFit="1" customWidth="1"/>
    <col min="11062" max="11062" width="8.28515625" style="15" customWidth="1"/>
    <col min="11063" max="11063" width="7.7109375" style="15" customWidth="1"/>
    <col min="11064" max="11064" width="8.42578125" style="15" customWidth="1"/>
    <col min="11065" max="11065" width="14.28515625" style="15" customWidth="1"/>
    <col min="11066" max="11066" width="10.85546875" style="15" customWidth="1"/>
    <col min="11067" max="11067" width="7.5703125" style="15" customWidth="1"/>
    <col min="11068" max="11068" width="9" style="15" customWidth="1"/>
    <col min="11069" max="11069" width="11.140625" style="15" customWidth="1"/>
    <col min="11070" max="11070" width="9.42578125" style="15" customWidth="1"/>
    <col min="11071" max="11071" width="7.7109375" style="15" bestFit="1" customWidth="1"/>
    <col min="11072" max="11072" width="6.85546875" style="15" bestFit="1" customWidth="1"/>
    <col min="11073" max="11073" width="10.42578125" style="15" customWidth="1"/>
    <col min="11074" max="11074" width="10.85546875" style="15" customWidth="1"/>
    <col min="11075" max="11084" width="9.140625" style="15"/>
    <col min="11085" max="11085" width="21.28515625" style="15" customWidth="1"/>
    <col min="11086" max="11086" width="17" style="15" customWidth="1"/>
    <col min="11087" max="11303" width="9.140625" style="15"/>
    <col min="11304" max="11304" width="10" style="15" bestFit="1" customWidth="1"/>
    <col min="11305" max="11306" width="10" style="15" customWidth="1"/>
    <col min="11307" max="11307" width="10.28515625" style="15" customWidth="1"/>
    <col min="11308" max="11308" width="9.140625" style="15"/>
    <col min="11309" max="11309" width="11.5703125" style="15" customWidth="1"/>
    <col min="11310" max="11310" width="9.5703125" style="15" customWidth="1"/>
    <col min="11311" max="11311" width="8.28515625" style="15" bestFit="1" customWidth="1"/>
    <col min="11312" max="11312" width="13.7109375" style="15" customWidth="1"/>
    <col min="11313" max="11313" width="8.5703125" style="15" bestFit="1" customWidth="1"/>
    <col min="11314" max="11314" width="6.85546875" style="15" bestFit="1" customWidth="1"/>
    <col min="11315" max="11315" width="8.42578125" style="15" customWidth="1"/>
    <col min="11316" max="11316" width="10.28515625" style="15" customWidth="1"/>
    <col min="11317" max="11317" width="9" style="15" bestFit="1" customWidth="1"/>
    <col min="11318" max="11318" width="8.28515625" style="15" customWidth="1"/>
    <col min="11319" max="11319" width="7.7109375" style="15" customWidth="1"/>
    <col min="11320" max="11320" width="8.42578125" style="15" customWidth="1"/>
    <col min="11321" max="11321" width="14.28515625" style="15" customWidth="1"/>
    <col min="11322" max="11322" width="10.85546875" style="15" customWidth="1"/>
    <col min="11323" max="11323" width="7.5703125" style="15" customWidth="1"/>
    <col min="11324" max="11324" width="9" style="15" customWidth="1"/>
    <col min="11325" max="11325" width="11.140625" style="15" customWidth="1"/>
    <col min="11326" max="11326" width="9.42578125" style="15" customWidth="1"/>
    <col min="11327" max="11327" width="7.7109375" style="15" bestFit="1" customWidth="1"/>
    <col min="11328" max="11328" width="6.85546875" style="15" bestFit="1" customWidth="1"/>
    <col min="11329" max="11329" width="10.42578125" style="15" customWidth="1"/>
    <col min="11330" max="11330" width="10.85546875" style="15" customWidth="1"/>
    <col min="11331" max="11340" width="9.140625" style="15"/>
    <col min="11341" max="11341" width="21.28515625" style="15" customWidth="1"/>
    <col min="11342" max="11342" width="17" style="15" customWidth="1"/>
    <col min="11343" max="11559" width="9.140625" style="15"/>
    <col min="11560" max="11560" width="10" style="15" bestFit="1" customWidth="1"/>
    <col min="11561" max="11562" width="10" style="15" customWidth="1"/>
    <col min="11563" max="11563" width="10.28515625" style="15" customWidth="1"/>
    <col min="11564" max="11564" width="9.140625" style="15"/>
    <col min="11565" max="11565" width="11.5703125" style="15" customWidth="1"/>
    <col min="11566" max="11566" width="9.5703125" style="15" customWidth="1"/>
    <col min="11567" max="11567" width="8.28515625" style="15" bestFit="1" customWidth="1"/>
    <col min="11568" max="11568" width="13.7109375" style="15" customWidth="1"/>
    <col min="11569" max="11569" width="8.5703125" style="15" bestFit="1" customWidth="1"/>
    <col min="11570" max="11570" width="6.85546875" style="15" bestFit="1" customWidth="1"/>
    <col min="11571" max="11571" width="8.42578125" style="15" customWidth="1"/>
    <col min="11572" max="11572" width="10.28515625" style="15" customWidth="1"/>
    <col min="11573" max="11573" width="9" style="15" bestFit="1" customWidth="1"/>
    <col min="11574" max="11574" width="8.28515625" style="15" customWidth="1"/>
    <col min="11575" max="11575" width="7.7109375" style="15" customWidth="1"/>
    <col min="11576" max="11576" width="8.42578125" style="15" customWidth="1"/>
    <col min="11577" max="11577" width="14.28515625" style="15" customWidth="1"/>
    <col min="11578" max="11578" width="10.85546875" style="15" customWidth="1"/>
    <col min="11579" max="11579" width="7.5703125" style="15" customWidth="1"/>
    <col min="11580" max="11580" width="9" style="15" customWidth="1"/>
    <col min="11581" max="11581" width="11.140625" style="15" customWidth="1"/>
    <col min="11582" max="11582" width="9.42578125" style="15" customWidth="1"/>
    <col min="11583" max="11583" width="7.7109375" style="15" bestFit="1" customWidth="1"/>
    <col min="11584" max="11584" width="6.85546875" style="15" bestFit="1" customWidth="1"/>
    <col min="11585" max="11585" width="10.42578125" style="15" customWidth="1"/>
    <col min="11586" max="11586" width="10.85546875" style="15" customWidth="1"/>
    <col min="11587" max="11596" width="9.140625" style="15"/>
    <col min="11597" max="11597" width="21.28515625" style="15" customWidth="1"/>
    <col min="11598" max="11598" width="17" style="15" customWidth="1"/>
    <col min="11599" max="11815" width="9.140625" style="15"/>
    <col min="11816" max="11816" width="10" style="15" bestFit="1" customWidth="1"/>
    <col min="11817" max="11818" width="10" style="15" customWidth="1"/>
    <col min="11819" max="11819" width="10.28515625" style="15" customWidth="1"/>
    <col min="11820" max="11820" width="9.140625" style="15"/>
    <col min="11821" max="11821" width="11.5703125" style="15" customWidth="1"/>
    <col min="11822" max="11822" width="9.5703125" style="15" customWidth="1"/>
    <col min="11823" max="11823" width="8.28515625" style="15" bestFit="1" customWidth="1"/>
    <col min="11824" max="11824" width="13.7109375" style="15" customWidth="1"/>
    <col min="11825" max="11825" width="8.5703125" style="15" bestFit="1" customWidth="1"/>
    <col min="11826" max="11826" width="6.85546875" style="15" bestFit="1" customWidth="1"/>
    <col min="11827" max="11827" width="8.42578125" style="15" customWidth="1"/>
    <col min="11828" max="11828" width="10.28515625" style="15" customWidth="1"/>
    <col min="11829" max="11829" width="9" style="15" bestFit="1" customWidth="1"/>
    <col min="11830" max="11830" width="8.28515625" style="15" customWidth="1"/>
    <col min="11831" max="11831" width="7.7109375" style="15" customWidth="1"/>
    <col min="11832" max="11832" width="8.42578125" style="15" customWidth="1"/>
    <col min="11833" max="11833" width="14.28515625" style="15" customWidth="1"/>
    <col min="11834" max="11834" width="10.85546875" style="15" customWidth="1"/>
    <col min="11835" max="11835" width="7.5703125" style="15" customWidth="1"/>
    <col min="11836" max="11836" width="9" style="15" customWidth="1"/>
    <col min="11837" max="11837" width="11.140625" style="15" customWidth="1"/>
    <col min="11838" max="11838" width="9.42578125" style="15" customWidth="1"/>
    <col min="11839" max="11839" width="7.7109375" style="15" bestFit="1" customWidth="1"/>
    <col min="11840" max="11840" width="6.85546875" style="15" bestFit="1" customWidth="1"/>
    <col min="11841" max="11841" width="10.42578125" style="15" customWidth="1"/>
    <col min="11842" max="11842" width="10.85546875" style="15" customWidth="1"/>
    <col min="11843" max="11852" width="9.140625" style="15"/>
    <col min="11853" max="11853" width="21.28515625" style="15" customWidth="1"/>
    <col min="11854" max="11854" width="17" style="15" customWidth="1"/>
    <col min="11855" max="12071" width="9.140625" style="15"/>
    <col min="12072" max="12072" width="10" style="15" bestFit="1" customWidth="1"/>
    <col min="12073" max="12074" width="10" style="15" customWidth="1"/>
    <col min="12075" max="12075" width="10.28515625" style="15" customWidth="1"/>
    <col min="12076" max="12076" width="9.140625" style="15"/>
    <col min="12077" max="12077" width="11.5703125" style="15" customWidth="1"/>
    <col min="12078" max="12078" width="9.5703125" style="15" customWidth="1"/>
    <col min="12079" max="12079" width="8.28515625" style="15" bestFit="1" customWidth="1"/>
    <col min="12080" max="12080" width="13.7109375" style="15" customWidth="1"/>
    <col min="12081" max="12081" width="8.5703125" style="15" bestFit="1" customWidth="1"/>
    <col min="12082" max="12082" width="6.85546875" style="15" bestFit="1" customWidth="1"/>
    <col min="12083" max="12083" width="8.42578125" style="15" customWidth="1"/>
    <col min="12084" max="12084" width="10.28515625" style="15" customWidth="1"/>
    <col min="12085" max="12085" width="9" style="15" bestFit="1" customWidth="1"/>
    <col min="12086" max="12086" width="8.28515625" style="15" customWidth="1"/>
    <col min="12087" max="12087" width="7.7109375" style="15" customWidth="1"/>
    <col min="12088" max="12088" width="8.42578125" style="15" customWidth="1"/>
    <col min="12089" max="12089" width="14.28515625" style="15" customWidth="1"/>
    <col min="12090" max="12090" width="10.85546875" style="15" customWidth="1"/>
    <col min="12091" max="12091" width="7.5703125" style="15" customWidth="1"/>
    <col min="12092" max="12092" width="9" style="15" customWidth="1"/>
    <col min="12093" max="12093" width="11.140625" style="15" customWidth="1"/>
    <col min="12094" max="12094" width="9.42578125" style="15" customWidth="1"/>
    <col min="12095" max="12095" width="7.7109375" style="15" bestFit="1" customWidth="1"/>
    <col min="12096" max="12096" width="6.85546875" style="15" bestFit="1" customWidth="1"/>
    <col min="12097" max="12097" width="10.42578125" style="15" customWidth="1"/>
    <col min="12098" max="12098" width="10.85546875" style="15" customWidth="1"/>
    <col min="12099" max="12108" width="9.140625" style="15"/>
    <col min="12109" max="12109" width="21.28515625" style="15" customWidth="1"/>
    <col min="12110" max="12110" width="17" style="15" customWidth="1"/>
    <col min="12111" max="12327" width="9.140625" style="15"/>
    <col min="12328" max="12328" width="10" style="15" bestFit="1" customWidth="1"/>
    <col min="12329" max="12330" width="10" style="15" customWidth="1"/>
    <col min="12331" max="12331" width="10.28515625" style="15" customWidth="1"/>
    <col min="12332" max="12332" width="9.140625" style="15"/>
    <col min="12333" max="12333" width="11.5703125" style="15" customWidth="1"/>
    <col min="12334" max="12334" width="9.5703125" style="15" customWidth="1"/>
    <col min="12335" max="12335" width="8.28515625" style="15" bestFit="1" customWidth="1"/>
    <col min="12336" max="12336" width="13.7109375" style="15" customWidth="1"/>
    <col min="12337" max="12337" width="8.5703125" style="15" bestFit="1" customWidth="1"/>
    <col min="12338" max="12338" width="6.85546875" style="15" bestFit="1" customWidth="1"/>
    <col min="12339" max="12339" width="8.42578125" style="15" customWidth="1"/>
    <col min="12340" max="12340" width="10.28515625" style="15" customWidth="1"/>
    <col min="12341" max="12341" width="9" style="15" bestFit="1" customWidth="1"/>
    <col min="12342" max="12342" width="8.28515625" style="15" customWidth="1"/>
    <col min="12343" max="12343" width="7.7109375" style="15" customWidth="1"/>
    <col min="12344" max="12344" width="8.42578125" style="15" customWidth="1"/>
    <col min="12345" max="12345" width="14.28515625" style="15" customWidth="1"/>
    <col min="12346" max="12346" width="10.85546875" style="15" customWidth="1"/>
    <col min="12347" max="12347" width="7.5703125" style="15" customWidth="1"/>
    <col min="12348" max="12348" width="9" style="15" customWidth="1"/>
    <col min="12349" max="12349" width="11.140625" style="15" customWidth="1"/>
    <col min="12350" max="12350" width="9.42578125" style="15" customWidth="1"/>
    <col min="12351" max="12351" width="7.7109375" style="15" bestFit="1" customWidth="1"/>
    <col min="12352" max="12352" width="6.85546875" style="15" bestFit="1" customWidth="1"/>
    <col min="12353" max="12353" width="10.42578125" style="15" customWidth="1"/>
    <col min="12354" max="12354" width="10.85546875" style="15" customWidth="1"/>
    <col min="12355" max="12364" width="9.140625" style="15"/>
    <col min="12365" max="12365" width="21.28515625" style="15" customWidth="1"/>
    <col min="12366" max="12366" width="17" style="15" customWidth="1"/>
    <col min="12367" max="12583" width="9.140625" style="15"/>
    <col min="12584" max="12584" width="10" style="15" bestFit="1" customWidth="1"/>
    <col min="12585" max="12586" width="10" style="15" customWidth="1"/>
    <col min="12587" max="12587" width="10.28515625" style="15" customWidth="1"/>
    <col min="12588" max="12588" width="9.140625" style="15"/>
    <col min="12589" max="12589" width="11.5703125" style="15" customWidth="1"/>
    <col min="12590" max="12590" width="9.5703125" style="15" customWidth="1"/>
    <col min="12591" max="12591" width="8.28515625" style="15" bestFit="1" customWidth="1"/>
    <col min="12592" max="12592" width="13.7109375" style="15" customWidth="1"/>
    <col min="12593" max="12593" width="8.5703125" style="15" bestFit="1" customWidth="1"/>
    <col min="12594" max="12594" width="6.85546875" style="15" bestFit="1" customWidth="1"/>
    <col min="12595" max="12595" width="8.42578125" style="15" customWidth="1"/>
    <col min="12596" max="12596" width="10.28515625" style="15" customWidth="1"/>
    <col min="12597" max="12597" width="9" style="15" bestFit="1" customWidth="1"/>
    <col min="12598" max="12598" width="8.28515625" style="15" customWidth="1"/>
    <col min="12599" max="12599" width="7.7109375" style="15" customWidth="1"/>
    <col min="12600" max="12600" width="8.42578125" style="15" customWidth="1"/>
    <col min="12601" max="12601" width="14.28515625" style="15" customWidth="1"/>
    <col min="12602" max="12602" width="10.85546875" style="15" customWidth="1"/>
    <col min="12603" max="12603" width="7.5703125" style="15" customWidth="1"/>
    <col min="12604" max="12604" width="9" style="15" customWidth="1"/>
    <col min="12605" max="12605" width="11.140625" style="15" customWidth="1"/>
    <col min="12606" max="12606" width="9.42578125" style="15" customWidth="1"/>
    <col min="12607" max="12607" width="7.7109375" style="15" bestFit="1" customWidth="1"/>
    <col min="12608" max="12608" width="6.85546875" style="15" bestFit="1" customWidth="1"/>
    <col min="12609" max="12609" width="10.42578125" style="15" customWidth="1"/>
    <col min="12610" max="12610" width="10.85546875" style="15" customWidth="1"/>
    <col min="12611" max="12620" width="9.140625" style="15"/>
    <col min="12621" max="12621" width="21.28515625" style="15" customWidth="1"/>
    <col min="12622" max="12622" width="17" style="15" customWidth="1"/>
    <col min="12623" max="12839" width="9.140625" style="15"/>
    <col min="12840" max="12840" width="10" style="15" bestFit="1" customWidth="1"/>
    <col min="12841" max="12842" width="10" style="15" customWidth="1"/>
    <col min="12843" max="12843" width="10.28515625" style="15" customWidth="1"/>
    <col min="12844" max="12844" width="9.140625" style="15"/>
    <col min="12845" max="12845" width="11.5703125" style="15" customWidth="1"/>
    <col min="12846" max="12846" width="9.5703125" style="15" customWidth="1"/>
    <col min="12847" max="12847" width="8.28515625" style="15" bestFit="1" customWidth="1"/>
    <col min="12848" max="12848" width="13.7109375" style="15" customWidth="1"/>
    <col min="12849" max="12849" width="8.5703125" style="15" bestFit="1" customWidth="1"/>
    <col min="12850" max="12850" width="6.85546875" style="15" bestFit="1" customWidth="1"/>
    <col min="12851" max="12851" width="8.42578125" style="15" customWidth="1"/>
    <col min="12852" max="12852" width="10.28515625" style="15" customWidth="1"/>
    <col min="12853" max="12853" width="9" style="15" bestFit="1" customWidth="1"/>
    <col min="12854" max="12854" width="8.28515625" style="15" customWidth="1"/>
    <col min="12855" max="12855" width="7.7109375" style="15" customWidth="1"/>
    <col min="12856" max="12856" width="8.42578125" style="15" customWidth="1"/>
    <col min="12857" max="12857" width="14.28515625" style="15" customWidth="1"/>
    <col min="12858" max="12858" width="10.85546875" style="15" customWidth="1"/>
    <col min="12859" max="12859" width="7.5703125" style="15" customWidth="1"/>
    <col min="12860" max="12860" width="9" style="15" customWidth="1"/>
    <col min="12861" max="12861" width="11.140625" style="15" customWidth="1"/>
    <col min="12862" max="12862" width="9.42578125" style="15" customWidth="1"/>
    <col min="12863" max="12863" width="7.7109375" style="15" bestFit="1" customWidth="1"/>
    <col min="12864" max="12864" width="6.85546875" style="15" bestFit="1" customWidth="1"/>
    <col min="12865" max="12865" width="10.42578125" style="15" customWidth="1"/>
    <col min="12866" max="12866" width="10.85546875" style="15" customWidth="1"/>
    <col min="12867" max="12876" width="9.140625" style="15"/>
    <col min="12877" max="12877" width="21.28515625" style="15" customWidth="1"/>
    <col min="12878" max="12878" width="17" style="15" customWidth="1"/>
    <col min="12879" max="13095" width="9.140625" style="15"/>
    <col min="13096" max="13096" width="10" style="15" bestFit="1" customWidth="1"/>
    <col min="13097" max="13098" width="10" style="15" customWidth="1"/>
    <col min="13099" max="13099" width="10.28515625" style="15" customWidth="1"/>
    <col min="13100" max="13100" width="9.140625" style="15"/>
    <col min="13101" max="13101" width="11.5703125" style="15" customWidth="1"/>
    <col min="13102" max="13102" width="9.5703125" style="15" customWidth="1"/>
    <col min="13103" max="13103" width="8.28515625" style="15" bestFit="1" customWidth="1"/>
    <col min="13104" max="13104" width="13.7109375" style="15" customWidth="1"/>
    <col min="13105" max="13105" width="8.5703125" style="15" bestFit="1" customWidth="1"/>
    <col min="13106" max="13106" width="6.85546875" style="15" bestFit="1" customWidth="1"/>
    <col min="13107" max="13107" width="8.42578125" style="15" customWidth="1"/>
    <col min="13108" max="13108" width="10.28515625" style="15" customWidth="1"/>
    <col min="13109" max="13109" width="9" style="15" bestFit="1" customWidth="1"/>
    <col min="13110" max="13110" width="8.28515625" style="15" customWidth="1"/>
    <col min="13111" max="13111" width="7.7109375" style="15" customWidth="1"/>
    <col min="13112" max="13112" width="8.42578125" style="15" customWidth="1"/>
    <col min="13113" max="13113" width="14.28515625" style="15" customWidth="1"/>
    <col min="13114" max="13114" width="10.85546875" style="15" customWidth="1"/>
    <col min="13115" max="13115" width="7.5703125" style="15" customWidth="1"/>
    <col min="13116" max="13116" width="9" style="15" customWidth="1"/>
    <col min="13117" max="13117" width="11.140625" style="15" customWidth="1"/>
    <col min="13118" max="13118" width="9.42578125" style="15" customWidth="1"/>
    <col min="13119" max="13119" width="7.7109375" style="15" bestFit="1" customWidth="1"/>
    <col min="13120" max="13120" width="6.85546875" style="15" bestFit="1" customWidth="1"/>
    <col min="13121" max="13121" width="10.42578125" style="15" customWidth="1"/>
    <col min="13122" max="13122" width="10.85546875" style="15" customWidth="1"/>
    <col min="13123" max="13132" width="9.140625" style="15"/>
    <col min="13133" max="13133" width="21.28515625" style="15" customWidth="1"/>
    <col min="13134" max="13134" width="17" style="15" customWidth="1"/>
    <col min="13135" max="13351" width="9.140625" style="15"/>
    <col min="13352" max="13352" width="10" style="15" bestFit="1" customWidth="1"/>
    <col min="13353" max="13354" width="10" style="15" customWidth="1"/>
    <col min="13355" max="13355" width="10.28515625" style="15" customWidth="1"/>
    <col min="13356" max="13356" width="9.140625" style="15"/>
    <col min="13357" max="13357" width="11.5703125" style="15" customWidth="1"/>
    <col min="13358" max="13358" width="9.5703125" style="15" customWidth="1"/>
    <col min="13359" max="13359" width="8.28515625" style="15" bestFit="1" customWidth="1"/>
    <col min="13360" max="13360" width="13.7109375" style="15" customWidth="1"/>
    <col min="13361" max="13361" width="8.5703125" style="15" bestFit="1" customWidth="1"/>
    <col min="13362" max="13362" width="6.85546875" style="15" bestFit="1" customWidth="1"/>
    <col min="13363" max="13363" width="8.42578125" style="15" customWidth="1"/>
    <col min="13364" max="13364" width="10.28515625" style="15" customWidth="1"/>
    <col min="13365" max="13365" width="9" style="15" bestFit="1" customWidth="1"/>
    <col min="13366" max="13366" width="8.28515625" style="15" customWidth="1"/>
    <col min="13367" max="13367" width="7.7109375" style="15" customWidth="1"/>
    <col min="13368" max="13368" width="8.42578125" style="15" customWidth="1"/>
    <col min="13369" max="13369" width="14.28515625" style="15" customWidth="1"/>
    <col min="13370" max="13370" width="10.85546875" style="15" customWidth="1"/>
    <col min="13371" max="13371" width="7.5703125" style="15" customWidth="1"/>
    <col min="13372" max="13372" width="9" style="15" customWidth="1"/>
    <col min="13373" max="13373" width="11.140625" style="15" customWidth="1"/>
    <col min="13374" max="13374" width="9.42578125" style="15" customWidth="1"/>
    <col min="13375" max="13375" width="7.7109375" style="15" bestFit="1" customWidth="1"/>
    <col min="13376" max="13376" width="6.85546875" style="15" bestFit="1" customWidth="1"/>
    <col min="13377" max="13377" width="10.42578125" style="15" customWidth="1"/>
    <col min="13378" max="13378" width="10.85546875" style="15" customWidth="1"/>
    <col min="13379" max="13388" width="9.140625" style="15"/>
    <col min="13389" max="13389" width="21.28515625" style="15" customWidth="1"/>
    <col min="13390" max="13390" width="17" style="15" customWidth="1"/>
    <col min="13391" max="13607" width="9.140625" style="15"/>
    <col min="13608" max="13608" width="10" style="15" bestFit="1" customWidth="1"/>
    <col min="13609" max="13610" width="10" style="15" customWidth="1"/>
    <col min="13611" max="13611" width="10.28515625" style="15" customWidth="1"/>
    <col min="13612" max="13612" width="9.140625" style="15"/>
    <col min="13613" max="13613" width="11.5703125" style="15" customWidth="1"/>
    <col min="13614" max="13614" width="9.5703125" style="15" customWidth="1"/>
    <col min="13615" max="13615" width="8.28515625" style="15" bestFit="1" customWidth="1"/>
    <col min="13616" max="13616" width="13.7109375" style="15" customWidth="1"/>
    <col min="13617" max="13617" width="8.5703125" style="15" bestFit="1" customWidth="1"/>
    <col min="13618" max="13618" width="6.85546875" style="15" bestFit="1" customWidth="1"/>
    <col min="13619" max="13619" width="8.42578125" style="15" customWidth="1"/>
    <col min="13620" max="13620" width="10.28515625" style="15" customWidth="1"/>
    <col min="13621" max="13621" width="9" style="15" bestFit="1" customWidth="1"/>
    <col min="13622" max="13622" width="8.28515625" style="15" customWidth="1"/>
    <col min="13623" max="13623" width="7.7109375" style="15" customWidth="1"/>
    <col min="13624" max="13624" width="8.42578125" style="15" customWidth="1"/>
    <col min="13625" max="13625" width="14.28515625" style="15" customWidth="1"/>
    <col min="13626" max="13626" width="10.85546875" style="15" customWidth="1"/>
    <col min="13627" max="13627" width="7.5703125" style="15" customWidth="1"/>
    <col min="13628" max="13628" width="9" style="15" customWidth="1"/>
    <col min="13629" max="13629" width="11.140625" style="15" customWidth="1"/>
    <col min="13630" max="13630" width="9.42578125" style="15" customWidth="1"/>
    <col min="13631" max="13631" width="7.7109375" style="15" bestFit="1" customWidth="1"/>
    <col min="13632" max="13632" width="6.85546875" style="15" bestFit="1" customWidth="1"/>
    <col min="13633" max="13633" width="10.42578125" style="15" customWidth="1"/>
    <col min="13634" max="13634" width="10.85546875" style="15" customWidth="1"/>
    <col min="13635" max="13644" width="9.140625" style="15"/>
    <col min="13645" max="13645" width="21.28515625" style="15" customWidth="1"/>
    <col min="13646" max="13646" width="17" style="15" customWidth="1"/>
    <col min="13647" max="13863" width="9.140625" style="15"/>
    <col min="13864" max="13864" width="10" style="15" bestFit="1" customWidth="1"/>
    <col min="13865" max="13866" width="10" style="15" customWidth="1"/>
    <col min="13867" max="13867" width="10.28515625" style="15" customWidth="1"/>
    <col min="13868" max="13868" width="9.140625" style="15"/>
    <col min="13869" max="13869" width="11.5703125" style="15" customWidth="1"/>
    <col min="13870" max="13870" width="9.5703125" style="15" customWidth="1"/>
    <col min="13871" max="13871" width="8.28515625" style="15" bestFit="1" customWidth="1"/>
    <col min="13872" max="13872" width="13.7109375" style="15" customWidth="1"/>
    <col min="13873" max="13873" width="8.5703125" style="15" bestFit="1" customWidth="1"/>
    <col min="13874" max="13874" width="6.85546875" style="15" bestFit="1" customWidth="1"/>
    <col min="13875" max="13875" width="8.42578125" style="15" customWidth="1"/>
    <col min="13876" max="13876" width="10.28515625" style="15" customWidth="1"/>
    <col min="13877" max="13877" width="9" style="15" bestFit="1" customWidth="1"/>
    <col min="13878" max="13878" width="8.28515625" style="15" customWidth="1"/>
    <col min="13879" max="13879" width="7.7109375" style="15" customWidth="1"/>
    <col min="13880" max="13880" width="8.42578125" style="15" customWidth="1"/>
    <col min="13881" max="13881" width="14.28515625" style="15" customWidth="1"/>
    <col min="13882" max="13882" width="10.85546875" style="15" customWidth="1"/>
    <col min="13883" max="13883" width="7.5703125" style="15" customWidth="1"/>
    <col min="13884" max="13884" width="9" style="15" customWidth="1"/>
    <col min="13885" max="13885" width="11.140625" style="15" customWidth="1"/>
    <col min="13886" max="13886" width="9.42578125" style="15" customWidth="1"/>
    <col min="13887" max="13887" width="7.7109375" style="15" bestFit="1" customWidth="1"/>
    <col min="13888" max="13888" width="6.85546875" style="15" bestFit="1" customWidth="1"/>
    <col min="13889" max="13889" width="10.42578125" style="15" customWidth="1"/>
    <col min="13890" max="13890" width="10.85546875" style="15" customWidth="1"/>
    <col min="13891" max="13900" width="9.140625" style="15"/>
    <col min="13901" max="13901" width="21.28515625" style="15" customWidth="1"/>
    <col min="13902" max="13902" width="17" style="15" customWidth="1"/>
    <col min="13903" max="14119" width="9.140625" style="15"/>
    <col min="14120" max="14120" width="10" style="15" bestFit="1" customWidth="1"/>
    <col min="14121" max="14122" width="10" style="15" customWidth="1"/>
    <col min="14123" max="14123" width="10.28515625" style="15" customWidth="1"/>
    <col min="14124" max="14124" width="9.140625" style="15"/>
    <col min="14125" max="14125" width="11.5703125" style="15" customWidth="1"/>
    <col min="14126" max="14126" width="9.5703125" style="15" customWidth="1"/>
    <col min="14127" max="14127" width="8.28515625" style="15" bestFit="1" customWidth="1"/>
    <col min="14128" max="14128" width="13.7109375" style="15" customWidth="1"/>
    <col min="14129" max="14129" width="8.5703125" style="15" bestFit="1" customWidth="1"/>
    <col min="14130" max="14130" width="6.85546875" style="15" bestFit="1" customWidth="1"/>
    <col min="14131" max="14131" width="8.42578125" style="15" customWidth="1"/>
    <col min="14132" max="14132" width="10.28515625" style="15" customWidth="1"/>
    <col min="14133" max="14133" width="9" style="15" bestFit="1" customWidth="1"/>
    <col min="14134" max="14134" width="8.28515625" style="15" customWidth="1"/>
    <col min="14135" max="14135" width="7.7109375" style="15" customWidth="1"/>
    <col min="14136" max="14136" width="8.42578125" style="15" customWidth="1"/>
    <col min="14137" max="14137" width="14.28515625" style="15" customWidth="1"/>
    <col min="14138" max="14138" width="10.85546875" style="15" customWidth="1"/>
    <col min="14139" max="14139" width="7.5703125" style="15" customWidth="1"/>
    <col min="14140" max="14140" width="9" style="15" customWidth="1"/>
    <col min="14141" max="14141" width="11.140625" style="15" customWidth="1"/>
    <col min="14142" max="14142" width="9.42578125" style="15" customWidth="1"/>
    <col min="14143" max="14143" width="7.7109375" style="15" bestFit="1" customWidth="1"/>
    <col min="14144" max="14144" width="6.85546875" style="15" bestFit="1" customWidth="1"/>
    <col min="14145" max="14145" width="10.42578125" style="15" customWidth="1"/>
    <col min="14146" max="14146" width="10.85546875" style="15" customWidth="1"/>
    <col min="14147" max="14156" width="9.140625" style="15"/>
    <col min="14157" max="14157" width="21.28515625" style="15" customWidth="1"/>
    <col min="14158" max="14158" width="17" style="15" customWidth="1"/>
    <col min="14159" max="14375" width="9.140625" style="15"/>
    <col min="14376" max="14376" width="10" style="15" bestFit="1" customWidth="1"/>
    <col min="14377" max="14378" width="10" style="15" customWidth="1"/>
    <col min="14379" max="14379" width="10.28515625" style="15" customWidth="1"/>
    <col min="14380" max="14380" width="9.140625" style="15"/>
    <col min="14381" max="14381" width="11.5703125" style="15" customWidth="1"/>
    <col min="14382" max="14382" width="9.5703125" style="15" customWidth="1"/>
    <col min="14383" max="14383" width="8.28515625" style="15" bestFit="1" customWidth="1"/>
    <col min="14384" max="14384" width="13.7109375" style="15" customWidth="1"/>
    <col min="14385" max="14385" width="8.5703125" style="15" bestFit="1" customWidth="1"/>
    <col min="14386" max="14386" width="6.85546875" style="15" bestFit="1" customWidth="1"/>
    <col min="14387" max="14387" width="8.42578125" style="15" customWidth="1"/>
    <col min="14388" max="14388" width="10.28515625" style="15" customWidth="1"/>
    <col min="14389" max="14389" width="9" style="15" bestFit="1" customWidth="1"/>
    <col min="14390" max="14390" width="8.28515625" style="15" customWidth="1"/>
    <col min="14391" max="14391" width="7.7109375" style="15" customWidth="1"/>
    <col min="14392" max="14392" width="8.42578125" style="15" customWidth="1"/>
    <col min="14393" max="14393" width="14.28515625" style="15" customWidth="1"/>
    <col min="14394" max="14394" width="10.85546875" style="15" customWidth="1"/>
    <col min="14395" max="14395" width="7.5703125" style="15" customWidth="1"/>
    <col min="14396" max="14396" width="9" style="15" customWidth="1"/>
    <col min="14397" max="14397" width="11.140625" style="15" customWidth="1"/>
    <col min="14398" max="14398" width="9.42578125" style="15" customWidth="1"/>
    <col min="14399" max="14399" width="7.7109375" style="15" bestFit="1" customWidth="1"/>
    <col min="14400" max="14400" width="6.85546875" style="15" bestFit="1" customWidth="1"/>
    <col min="14401" max="14401" width="10.42578125" style="15" customWidth="1"/>
    <col min="14402" max="14402" width="10.85546875" style="15" customWidth="1"/>
    <col min="14403" max="14412" width="9.140625" style="15"/>
    <col min="14413" max="14413" width="21.28515625" style="15" customWidth="1"/>
    <col min="14414" max="14414" width="17" style="15" customWidth="1"/>
    <col min="14415" max="14631" width="9.140625" style="15"/>
    <col min="14632" max="14632" width="10" style="15" bestFit="1" customWidth="1"/>
    <col min="14633" max="14634" width="10" style="15" customWidth="1"/>
    <col min="14635" max="14635" width="10.28515625" style="15" customWidth="1"/>
    <col min="14636" max="14636" width="9.140625" style="15"/>
    <col min="14637" max="14637" width="11.5703125" style="15" customWidth="1"/>
    <col min="14638" max="14638" width="9.5703125" style="15" customWidth="1"/>
    <col min="14639" max="14639" width="8.28515625" style="15" bestFit="1" customWidth="1"/>
    <col min="14640" max="14640" width="13.7109375" style="15" customWidth="1"/>
    <col min="14641" max="14641" width="8.5703125" style="15" bestFit="1" customWidth="1"/>
    <col min="14642" max="14642" width="6.85546875" style="15" bestFit="1" customWidth="1"/>
    <col min="14643" max="14643" width="8.42578125" style="15" customWidth="1"/>
    <col min="14644" max="14644" width="10.28515625" style="15" customWidth="1"/>
    <col min="14645" max="14645" width="9" style="15" bestFit="1" customWidth="1"/>
    <col min="14646" max="14646" width="8.28515625" style="15" customWidth="1"/>
    <col min="14647" max="14647" width="7.7109375" style="15" customWidth="1"/>
    <col min="14648" max="14648" width="8.42578125" style="15" customWidth="1"/>
    <col min="14649" max="14649" width="14.28515625" style="15" customWidth="1"/>
    <col min="14650" max="14650" width="10.85546875" style="15" customWidth="1"/>
    <col min="14651" max="14651" width="7.5703125" style="15" customWidth="1"/>
    <col min="14652" max="14652" width="9" style="15" customWidth="1"/>
    <col min="14653" max="14653" width="11.140625" style="15" customWidth="1"/>
    <col min="14654" max="14654" width="9.42578125" style="15" customWidth="1"/>
    <col min="14655" max="14655" width="7.7109375" style="15" bestFit="1" customWidth="1"/>
    <col min="14656" max="14656" width="6.85546875" style="15" bestFit="1" customWidth="1"/>
    <col min="14657" max="14657" width="10.42578125" style="15" customWidth="1"/>
    <col min="14658" max="14658" width="10.85546875" style="15" customWidth="1"/>
    <col min="14659" max="14668" width="9.140625" style="15"/>
    <col min="14669" max="14669" width="21.28515625" style="15" customWidth="1"/>
    <col min="14670" max="14670" width="17" style="15" customWidth="1"/>
    <col min="14671" max="14887" width="9.140625" style="15"/>
    <col min="14888" max="14888" width="10" style="15" bestFit="1" customWidth="1"/>
    <col min="14889" max="14890" width="10" style="15" customWidth="1"/>
    <col min="14891" max="14891" width="10.28515625" style="15" customWidth="1"/>
    <col min="14892" max="14892" width="9.140625" style="15"/>
    <col min="14893" max="14893" width="11.5703125" style="15" customWidth="1"/>
    <col min="14894" max="14894" width="9.5703125" style="15" customWidth="1"/>
    <col min="14895" max="14895" width="8.28515625" style="15" bestFit="1" customWidth="1"/>
    <col min="14896" max="14896" width="13.7109375" style="15" customWidth="1"/>
    <col min="14897" max="14897" width="8.5703125" style="15" bestFit="1" customWidth="1"/>
    <col min="14898" max="14898" width="6.85546875" style="15" bestFit="1" customWidth="1"/>
    <col min="14899" max="14899" width="8.42578125" style="15" customWidth="1"/>
    <col min="14900" max="14900" width="10.28515625" style="15" customWidth="1"/>
    <col min="14901" max="14901" width="9" style="15" bestFit="1" customWidth="1"/>
    <col min="14902" max="14902" width="8.28515625" style="15" customWidth="1"/>
    <col min="14903" max="14903" width="7.7109375" style="15" customWidth="1"/>
    <col min="14904" max="14904" width="8.42578125" style="15" customWidth="1"/>
    <col min="14905" max="14905" width="14.28515625" style="15" customWidth="1"/>
    <col min="14906" max="14906" width="10.85546875" style="15" customWidth="1"/>
    <col min="14907" max="14907" width="7.5703125" style="15" customWidth="1"/>
    <col min="14908" max="14908" width="9" style="15" customWidth="1"/>
    <col min="14909" max="14909" width="11.140625" style="15" customWidth="1"/>
    <col min="14910" max="14910" width="9.42578125" style="15" customWidth="1"/>
    <col min="14911" max="14911" width="7.7109375" style="15" bestFit="1" customWidth="1"/>
    <col min="14912" max="14912" width="6.85546875" style="15" bestFit="1" customWidth="1"/>
    <col min="14913" max="14913" width="10.42578125" style="15" customWidth="1"/>
    <col min="14914" max="14914" width="10.85546875" style="15" customWidth="1"/>
    <col min="14915" max="14924" width="9.140625" style="15"/>
    <col min="14925" max="14925" width="21.28515625" style="15" customWidth="1"/>
    <col min="14926" max="14926" width="17" style="15" customWidth="1"/>
    <col min="14927" max="15143" width="9.140625" style="15"/>
    <col min="15144" max="15144" width="10" style="15" bestFit="1" customWidth="1"/>
    <col min="15145" max="15146" width="10" style="15" customWidth="1"/>
    <col min="15147" max="15147" width="10.28515625" style="15" customWidth="1"/>
    <col min="15148" max="15148" width="9.140625" style="15"/>
    <col min="15149" max="15149" width="11.5703125" style="15" customWidth="1"/>
    <col min="15150" max="15150" width="9.5703125" style="15" customWidth="1"/>
    <col min="15151" max="15151" width="8.28515625" style="15" bestFit="1" customWidth="1"/>
    <col min="15152" max="15152" width="13.7109375" style="15" customWidth="1"/>
    <col min="15153" max="15153" width="8.5703125" style="15" bestFit="1" customWidth="1"/>
    <col min="15154" max="15154" width="6.85546875" style="15" bestFit="1" customWidth="1"/>
    <col min="15155" max="15155" width="8.42578125" style="15" customWidth="1"/>
    <col min="15156" max="15156" width="10.28515625" style="15" customWidth="1"/>
    <col min="15157" max="15157" width="9" style="15" bestFit="1" customWidth="1"/>
    <col min="15158" max="15158" width="8.28515625" style="15" customWidth="1"/>
    <col min="15159" max="15159" width="7.7109375" style="15" customWidth="1"/>
    <col min="15160" max="15160" width="8.42578125" style="15" customWidth="1"/>
    <col min="15161" max="15161" width="14.28515625" style="15" customWidth="1"/>
    <col min="15162" max="15162" width="10.85546875" style="15" customWidth="1"/>
    <col min="15163" max="15163" width="7.5703125" style="15" customWidth="1"/>
    <col min="15164" max="15164" width="9" style="15" customWidth="1"/>
    <col min="15165" max="15165" width="11.140625" style="15" customWidth="1"/>
    <col min="15166" max="15166" width="9.42578125" style="15" customWidth="1"/>
    <col min="15167" max="15167" width="7.7109375" style="15" bestFit="1" customWidth="1"/>
    <col min="15168" max="15168" width="6.85546875" style="15" bestFit="1" customWidth="1"/>
    <col min="15169" max="15169" width="10.42578125" style="15" customWidth="1"/>
    <col min="15170" max="15170" width="10.85546875" style="15" customWidth="1"/>
    <col min="15171" max="15180" width="9.140625" style="15"/>
    <col min="15181" max="15181" width="21.28515625" style="15" customWidth="1"/>
    <col min="15182" max="15182" width="17" style="15" customWidth="1"/>
    <col min="15183" max="15399" width="9.140625" style="15"/>
    <col min="15400" max="15400" width="10" style="15" bestFit="1" customWidth="1"/>
    <col min="15401" max="15402" width="10" style="15" customWidth="1"/>
    <col min="15403" max="15403" width="10.28515625" style="15" customWidth="1"/>
    <col min="15404" max="15404" width="9.140625" style="15"/>
    <col min="15405" max="15405" width="11.5703125" style="15" customWidth="1"/>
    <col min="15406" max="15406" width="9.5703125" style="15" customWidth="1"/>
    <col min="15407" max="15407" width="8.28515625" style="15" bestFit="1" customWidth="1"/>
    <col min="15408" max="15408" width="13.7109375" style="15" customWidth="1"/>
    <col min="15409" max="15409" width="8.5703125" style="15" bestFit="1" customWidth="1"/>
    <col min="15410" max="15410" width="6.85546875" style="15" bestFit="1" customWidth="1"/>
    <col min="15411" max="15411" width="8.42578125" style="15" customWidth="1"/>
    <col min="15412" max="15412" width="10.28515625" style="15" customWidth="1"/>
    <col min="15413" max="15413" width="9" style="15" bestFit="1" customWidth="1"/>
    <col min="15414" max="15414" width="8.28515625" style="15" customWidth="1"/>
    <col min="15415" max="15415" width="7.7109375" style="15" customWidth="1"/>
    <col min="15416" max="15416" width="8.42578125" style="15" customWidth="1"/>
    <col min="15417" max="15417" width="14.28515625" style="15" customWidth="1"/>
    <col min="15418" max="15418" width="10.85546875" style="15" customWidth="1"/>
    <col min="15419" max="15419" width="7.5703125" style="15" customWidth="1"/>
    <col min="15420" max="15420" width="9" style="15" customWidth="1"/>
    <col min="15421" max="15421" width="11.140625" style="15" customWidth="1"/>
    <col min="15422" max="15422" width="9.42578125" style="15" customWidth="1"/>
    <col min="15423" max="15423" width="7.7109375" style="15" bestFit="1" customWidth="1"/>
    <col min="15424" max="15424" width="6.85546875" style="15" bestFit="1" customWidth="1"/>
    <col min="15425" max="15425" width="10.42578125" style="15" customWidth="1"/>
    <col min="15426" max="15426" width="10.85546875" style="15" customWidth="1"/>
    <col min="15427" max="15436" width="9.140625" style="15"/>
    <col min="15437" max="15437" width="21.28515625" style="15" customWidth="1"/>
    <col min="15438" max="15438" width="17" style="15" customWidth="1"/>
    <col min="15439" max="15655" width="9.140625" style="15"/>
    <col min="15656" max="15656" width="10" style="15" bestFit="1" customWidth="1"/>
    <col min="15657" max="15658" width="10" style="15" customWidth="1"/>
    <col min="15659" max="15659" width="10.28515625" style="15" customWidth="1"/>
    <col min="15660" max="15660" width="9.140625" style="15"/>
    <col min="15661" max="15661" width="11.5703125" style="15" customWidth="1"/>
    <col min="15662" max="15662" width="9.5703125" style="15" customWidth="1"/>
    <col min="15663" max="15663" width="8.28515625" style="15" bestFit="1" customWidth="1"/>
    <col min="15664" max="15664" width="13.7109375" style="15" customWidth="1"/>
    <col min="15665" max="15665" width="8.5703125" style="15" bestFit="1" customWidth="1"/>
    <col min="15666" max="15666" width="6.85546875" style="15" bestFit="1" customWidth="1"/>
    <col min="15667" max="15667" width="8.42578125" style="15" customWidth="1"/>
    <col min="15668" max="15668" width="10.28515625" style="15" customWidth="1"/>
    <col min="15669" max="15669" width="9" style="15" bestFit="1" customWidth="1"/>
    <col min="15670" max="15670" width="8.28515625" style="15" customWidth="1"/>
    <col min="15671" max="15671" width="7.7109375" style="15" customWidth="1"/>
    <col min="15672" max="15672" width="8.42578125" style="15" customWidth="1"/>
    <col min="15673" max="15673" width="14.28515625" style="15" customWidth="1"/>
    <col min="15674" max="15674" width="10.85546875" style="15" customWidth="1"/>
    <col min="15675" max="15675" width="7.5703125" style="15" customWidth="1"/>
    <col min="15676" max="15676" width="9" style="15" customWidth="1"/>
    <col min="15677" max="15677" width="11.140625" style="15" customWidth="1"/>
    <col min="15678" max="15678" width="9.42578125" style="15" customWidth="1"/>
    <col min="15679" max="15679" width="7.7109375" style="15" bestFit="1" customWidth="1"/>
    <col min="15680" max="15680" width="6.85546875" style="15" bestFit="1" customWidth="1"/>
    <col min="15681" max="15681" width="10.42578125" style="15" customWidth="1"/>
    <col min="15682" max="15682" width="10.85546875" style="15" customWidth="1"/>
    <col min="15683" max="15692" width="9.140625" style="15"/>
    <col min="15693" max="15693" width="21.28515625" style="15" customWidth="1"/>
    <col min="15694" max="15694" width="17" style="15" customWidth="1"/>
    <col min="15695" max="15911" width="9.140625" style="15"/>
    <col min="15912" max="15912" width="10" style="15" bestFit="1" customWidth="1"/>
    <col min="15913" max="15914" width="10" style="15" customWidth="1"/>
    <col min="15915" max="15915" width="10.28515625" style="15" customWidth="1"/>
    <col min="15916" max="15916" width="9.140625" style="15"/>
    <col min="15917" max="15917" width="11.5703125" style="15" customWidth="1"/>
    <col min="15918" max="15918" width="9.5703125" style="15" customWidth="1"/>
    <col min="15919" max="15919" width="8.28515625" style="15" bestFit="1" customWidth="1"/>
    <col min="15920" max="15920" width="13.7109375" style="15" customWidth="1"/>
    <col min="15921" max="15921" width="8.5703125" style="15" bestFit="1" customWidth="1"/>
    <col min="15922" max="15922" width="6.85546875" style="15" bestFit="1" customWidth="1"/>
    <col min="15923" max="15923" width="8.42578125" style="15" customWidth="1"/>
    <col min="15924" max="15924" width="10.28515625" style="15" customWidth="1"/>
    <col min="15925" max="15925" width="9" style="15" bestFit="1" customWidth="1"/>
    <col min="15926" max="15926" width="8.28515625" style="15" customWidth="1"/>
    <col min="15927" max="15927" width="7.7109375" style="15" customWidth="1"/>
    <col min="15928" max="15928" width="8.42578125" style="15" customWidth="1"/>
    <col min="15929" max="15929" width="14.28515625" style="15" customWidth="1"/>
    <col min="15930" max="15930" width="10.85546875" style="15" customWidth="1"/>
    <col min="15931" max="15931" width="7.5703125" style="15" customWidth="1"/>
    <col min="15932" max="15932" width="9" style="15" customWidth="1"/>
    <col min="15933" max="15933" width="11.140625" style="15" customWidth="1"/>
    <col min="15934" max="15934" width="9.42578125" style="15" customWidth="1"/>
    <col min="15935" max="15935" width="7.7109375" style="15" bestFit="1" customWidth="1"/>
    <col min="15936" max="15936" width="6.85546875" style="15" bestFit="1" customWidth="1"/>
    <col min="15937" max="15937" width="10.42578125" style="15" customWidth="1"/>
    <col min="15938" max="15938" width="10.85546875" style="15" customWidth="1"/>
    <col min="15939" max="15948" width="9.140625" style="15"/>
    <col min="15949" max="15949" width="21.28515625" style="15" customWidth="1"/>
    <col min="15950" max="15950" width="17" style="15" customWidth="1"/>
    <col min="15951" max="16167" width="9.140625" style="15"/>
    <col min="16168" max="16168" width="10" style="15" bestFit="1" customWidth="1"/>
    <col min="16169" max="16170" width="10" style="15" customWidth="1"/>
    <col min="16171" max="16171" width="10.28515625" style="15" customWidth="1"/>
    <col min="16172" max="16172" width="9.140625" style="15"/>
    <col min="16173" max="16173" width="11.5703125" style="15" customWidth="1"/>
    <col min="16174" max="16174" width="9.5703125" style="15" customWidth="1"/>
    <col min="16175" max="16175" width="8.28515625" style="15" bestFit="1" customWidth="1"/>
    <col min="16176" max="16176" width="13.7109375" style="15" customWidth="1"/>
    <col min="16177" max="16177" width="8.5703125" style="15" bestFit="1" customWidth="1"/>
    <col min="16178" max="16178" width="6.85546875" style="15" bestFit="1" customWidth="1"/>
    <col min="16179" max="16179" width="8.42578125" style="15" customWidth="1"/>
    <col min="16180" max="16180" width="10.28515625" style="15" customWidth="1"/>
    <col min="16181" max="16181" width="9" style="15" bestFit="1" customWidth="1"/>
    <col min="16182" max="16182" width="8.28515625" style="15" customWidth="1"/>
    <col min="16183" max="16183" width="7.7109375" style="15" customWidth="1"/>
    <col min="16184" max="16184" width="8.42578125" style="15" customWidth="1"/>
    <col min="16185" max="16185" width="14.28515625" style="15" customWidth="1"/>
    <col min="16186" max="16186" width="10.85546875" style="15" customWidth="1"/>
    <col min="16187" max="16187" width="7.5703125" style="15" customWidth="1"/>
    <col min="16188" max="16188" width="9" style="15" customWidth="1"/>
    <col min="16189" max="16189" width="11.140625" style="15" customWidth="1"/>
    <col min="16190" max="16190" width="9.42578125" style="15" customWidth="1"/>
    <col min="16191" max="16191" width="7.7109375" style="15" bestFit="1" customWidth="1"/>
    <col min="16192" max="16192" width="6.85546875" style="15" bestFit="1" customWidth="1"/>
    <col min="16193" max="16193" width="10.42578125" style="15" customWidth="1"/>
    <col min="16194" max="16194" width="10.85546875" style="15" customWidth="1"/>
    <col min="16195" max="16204" width="9.140625" style="15"/>
    <col min="16205" max="16205" width="21.28515625" style="15" customWidth="1"/>
    <col min="16206" max="16206" width="17" style="15" customWidth="1"/>
    <col min="16207" max="16384" width="9.140625" style="15"/>
  </cols>
  <sheetData>
    <row r="1" spans="1:176" hidden="1" x14ac:dyDescent="0.2">
      <c r="B1" s="15">
        <v>2</v>
      </c>
      <c r="C1" s="15">
        <v>3</v>
      </c>
      <c r="D1" s="15">
        <v>4</v>
      </c>
      <c r="E1" s="15">
        <v>5</v>
      </c>
      <c r="F1" s="15">
        <v>6</v>
      </c>
      <c r="G1" s="15">
        <v>7</v>
      </c>
      <c r="H1" s="15">
        <v>8</v>
      </c>
      <c r="I1" s="15">
        <v>9</v>
      </c>
      <c r="J1" s="15">
        <v>10</v>
      </c>
      <c r="K1" s="15">
        <v>11</v>
      </c>
      <c r="L1" s="15">
        <v>12</v>
      </c>
      <c r="M1" s="15">
        <v>13</v>
      </c>
      <c r="N1" s="15">
        <v>14</v>
      </c>
      <c r="O1" s="15">
        <v>15</v>
      </c>
      <c r="P1" s="15">
        <v>16</v>
      </c>
      <c r="Q1" s="15">
        <v>17</v>
      </c>
      <c r="R1" s="15">
        <v>18</v>
      </c>
      <c r="S1" s="15">
        <v>19</v>
      </c>
      <c r="T1" s="15">
        <v>20</v>
      </c>
      <c r="U1" s="15">
        <v>21</v>
      </c>
      <c r="V1" s="15">
        <v>22</v>
      </c>
      <c r="W1" s="15">
        <v>23</v>
      </c>
      <c r="X1" s="15">
        <v>24</v>
      </c>
      <c r="Y1" s="15">
        <v>25</v>
      </c>
      <c r="Z1" s="15">
        <v>26</v>
      </c>
      <c r="AA1" s="15">
        <v>27</v>
      </c>
      <c r="AB1" s="15">
        <v>28</v>
      </c>
      <c r="AC1" s="15">
        <v>29</v>
      </c>
      <c r="AD1" s="15">
        <v>30</v>
      </c>
      <c r="AE1" s="15">
        <v>31</v>
      </c>
      <c r="AF1" s="15">
        <v>32</v>
      </c>
      <c r="AG1" s="15">
        <v>33</v>
      </c>
      <c r="AH1" s="15">
        <v>34</v>
      </c>
      <c r="AI1" s="15">
        <v>35</v>
      </c>
      <c r="AJ1" s="15">
        <v>36</v>
      </c>
      <c r="AK1" s="15">
        <v>37</v>
      </c>
      <c r="AL1" s="15">
        <v>38</v>
      </c>
      <c r="AM1" s="15">
        <v>39</v>
      </c>
      <c r="AN1" s="15">
        <v>40</v>
      </c>
      <c r="AO1" s="15">
        <v>41</v>
      </c>
      <c r="AP1" s="15">
        <v>42</v>
      </c>
      <c r="AQ1" s="15">
        <v>43</v>
      </c>
      <c r="AR1" s="15">
        <v>44</v>
      </c>
      <c r="AS1" s="15">
        <v>45</v>
      </c>
      <c r="AT1" s="15">
        <v>46</v>
      </c>
      <c r="AU1" s="15">
        <v>47</v>
      </c>
      <c r="AV1" s="15">
        <v>48</v>
      </c>
      <c r="AW1" s="15">
        <v>49</v>
      </c>
      <c r="AX1" s="15">
        <v>50</v>
      </c>
      <c r="AY1" s="15">
        <v>51</v>
      </c>
      <c r="AZ1" s="15">
        <v>52</v>
      </c>
      <c r="BA1" s="15">
        <v>53</v>
      </c>
      <c r="BB1" s="15">
        <v>54</v>
      </c>
      <c r="BC1" s="15">
        <v>55</v>
      </c>
      <c r="BD1" s="15">
        <v>56</v>
      </c>
      <c r="BE1" s="15">
        <v>57</v>
      </c>
      <c r="BF1" s="15">
        <v>58</v>
      </c>
      <c r="BG1" s="15">
        <v>59</v>
      </c>
      <c r="BH1" s="15">
        <v>60</v>
      </c>
      <c r="BI1" s="15">
        <v>61</v>
      </c>
      <c r="BJ1" s="15">
        <v>62</v>
      </c>
      <c r="BK1" s="15">
        <v>63</v>
      </c>
      <c r="BL1" s="15">
        <v>64</v>
      </c>
      <c r="BM1" s="15">
        <v>65</v>
      </c>
      <c r="BN1" s="15">
        <v>66</v>
      </c>
      <c r="BO1" s="15">
        <v>67</v>
      </c>
      <c r="BP1" s="15">
        <v>68</v>
      </c>
      <c r="BQ1" s="15">
        <v>69</v>
      </c>
      <c r="BR1" s="15">
        <v>70</v>
      </c>
      <c r="BS1" s="15">
        <v>71</v>
      </c>
      <c r="BT1" s="15">
        <v>72</v>
      </c>
      <c r="BU1" s="15">
        <v>73</v>
      </c>
      <c r="BV1" s="15">
        <v>74</v>
      </c>
      <c r="BW1" s="15">
        <v>75</v>
      </c>
      <c r="BX1" s="15">
        <v>76</v>
      </c>
      <c r="BY1" s="15">
        <v>77</v>
      </c>
      <c r="BZ1" s="15">
        <v>78</v>
      </c>
      <c r="CA1" s="15">
        <v>79</v>
      </c>
      <c r="CB1" s="15">
        <v>80</v>
      </c>
      <c r="CC1" s="15">
        <v>81</v>
      </c>
      <c r="CD1" s="15">
        <v>82</v>
      </c>
      <c r="CE1" s="15">
        <v>83</v>
      </c>
      <c r="CF1" s="15">
        <v>84</v>
      </c>
      <c r="CG1" s="15">
        <v>85</v>
      </c>
      <c r="CH1" s="15">
        <v>86</v>
      </c>
      <c r="CI1" s="15">
        <v>87</v>
      </c>
      <c r="CJ1" s="15">
        <v>88</v>
      </c>
      <c r="CK1" s="15">
        <v>89</v>
      </c>
      <c r="CL1" s="15">
        <v>90</v>
      </c>
      <c r="CM1" s="15">
        <v>91</v>
      </c>
      <c r="CN1" s="15">
        <v>92</v>
      </c>
      <c r="CO1" s="15">
        <v>93</v>
      </c>
      <c r="CP1" s="15">
        <v>94</v>
      </c>
      <c r="CQ1" s="15">
        <v>95</v>
      </c>
      <c r="CR1" s="15">
        <v>96</v>
      </c>
      <c r="CS1" s="15">
        <v>97</v>
      </c>
      <c r="CT1" s="15">
        <v>98</v>
      </c>
      <c r="CU1" s="15">
        <v>99</v>
      </c>
      <c r="CV1" s="15">
        <v>100</v>
      </c>
      <c r="CW1" s="15">
        <v>101</v>
      </c>
      <c r="CX1" s="15">
        <v>102</v>
      </c>
      <c r="CY1" s="15">
        <v>103</v>
      </c>
      <c r="CZ1" s="15">
        <v>104</v>
      </c>
      <c r="DA1" s="15">
        <v>105</v>
      </c>
      <c r="DB1" s="15">
        <v>106</v>
      </c>
      <c r="DC1" s="15">
        <v>107</v>
      </c>
      <c r="DD1" s="15">
        <v>108</v>
      </c>
      <c r="DE1" s="15">
        <v>109</v>
      </c>
      <c r="DF1" s="15">
        <v>110</v>
      </c>
      <c r="DG1" s="15">
        <v>111</v>
      </c>
      <c r="DH1" s="15">
        <v>112</v>
      </c>
      <c r="DI1" s="15">
        <v>113</v>
      </c>
      <c r="DJ1" s="15">
        <v>114</v>
      </c>
      <c r="DK1" s="15">
        <v>115</v>
      </c>
      <c r="DL1" s="15">
        <v>116</v>
      </c>
      <c r="DM1" s="15">
        <v>117</v>
      </c>
      <c r="DN1" s="15">
        <v>118</v>
      </c>
      <c r="DO1" s="15">
        <v>119</v>
      </c>
      <c r="DP1" s="15">
        <v>120</v>
      </c>
      <c r="DQ1" s="15">
        <v>121</v>
      </c>
      <c r="DR1" s="15">
        <v>122</v>
      </c>
      <c r="DS1" s="15">
        <v>123</v>
      </c>
      <c r="DT1" s="15">
        <v>124</v>
      </c>
      <c r="DU1" s="15">
        <v>125</v>
      </c>
      <c r="DV1" s="15">
        <v>126</v>
      </c>
      <c r="DW1" s="15">
        <v>127</v>
      </c>
      <c r="DX1" s="15">
        <v>128</v>
      </c>
      <c r="DY1" s="15">
        <v>129</v>
      </c>
      <c r="DZ1" s="15">
        <v>130</v>
      </c>
      <c r="EA1" s="15">
        <v>131</v>
      </c>
      <c r="EB1" s="15">
        <v>132</v>
      </c>
      <c r="EC1" s="15">
        <v>133</v>
      </c>
      <c r="ED1" s="15">
        <v>134</v>
      </c>
      <c r="EE1" s="15">
        <v>135</v>
      </c>
      <c r="EF1" s="15">
        <v>136</v>
      </c>
      <c r="EG1" s="15">
        <v>137</v>
      </c>
      <c r="EH1" s="15">
        <v>138</v>
      </c>
      <c r="EI1" s="15">
        <v>139</v>
      </c>
      <c r="EJ1" s="15">
        <v>140</v>
      </c>
      <c r="EK1" s="15">
        <v>141</v>
      </c>
      <c r="EL1" s="15">
        <v>142</v>
      </c>
      <c r="EM1" s="15">
        <v>143</v>
      </c>
      <c r="EN1" s="15">
        <v>144</v>
      </c>
      <c r="EO1" s="15">
        <v>145</v>
      </c>
      <c r="EP1" s="15">
        <v>146</v>
      </c>
      <c r="EQ1" s="15">
        <v>147</v>
      </c>
      <c r="ER1" s="15">
        <v>148</v>
      </c>
      <c r="ES1" s="15">
        <v>149</v>
      </c>
      <c r="ET1" s="15">
        <v>150</v>
      </c>
      <c r="EU1" s="15">
        <v>151</v>
      </c>
      <c r="EV1" s="15">
        <v>152</v>
      </c>
      <c r="EW1" s="15">
        <v>153</v>
      </c>
      <c r="EX1" s="15">
        <v>154</v>
      </c>
      <c r="EY1" s="15">
        <v>155</v>
      </c>
      <c r="EZ1" s="15">
        <v>156</v>
      </c>
      <c r="FA1" s="15">
        <v>157</v>
      </c>
      <c r="FB1" s="15">
        <v>158</v>
      </c>
      <c r="FC1" s="15">
        <v>159</v>
      </c>
      <c r="FD1" s="15">
        <v>160</v>
      </c>
      <c r="FE1" s="15">
        <v>161</v>
      </c>
      <c r="FF1" s="15">
        <v>162</v>
      </c>
      <c r="FG1" s="15">
        <v>163</v>
      </c>
      <c r="FH1" s="15">
        <v>164</v>
      </c>
      <c r="FI1" s="15">
        <v>165</v>
      </c>
      <c r="FJ1" s="15">
        <v>166</v>
      </c>
      <c r="FK1" s="15">
        <v>167</v>
      </c>
      <c r="FL1" s="15">
        <v>168</v>
      </c>
      <c r="FM1" s="15">
        <v>169</v>
      </c>
      <c r="FN1" s="15">
        <v>170</v>
      </c>
      <c r="FO1" s="15">
        <v>171</v>
      </c>
      <c r="FP1" s="15">
        <v>172</v>
      </c>
      <c r="FQ1" s="15">
        <v>173</v>
      </c>
      <c r="FR1" s="15"/>
      <c r="FS1" s="15"/>
      <c r="FT1" s="15"/>
    </row>
    <row r="2" spans="1:176" ht="36.75" customHeight="1" x14ac:dyDescent="0.2">
      <c r="A2" s="76"/>
      <c r="B2" s="17"/>
      <c r="C2" s="17"/>
      <c r="D2" s="18" t="s">
        <v>110</v>
      </c>
      <c r="E2" s="73" t="s">
        <v>72</v>
      </c>
      <c r="F2" s="74"/>
      <c r="G2" s="74"/>
      <c r="H2" s="75"/>
      <c r="I2" s="73" t="s">
        <v>73</v>
      </c>
      <c r="J2" s="74"/>
      <c r="K2" s="74"/>
      <c r="L2" s="75"/>
      <c r="M2" s="84" t="s">
        <v>31</v>
      </c>
      <c r="N2" s="84" t="s">
        <v>32</v>
      </c>
      <c r="O2" s="73" t="s">
        <v>75</v>
      </c>
      <c r="P2" s="74"/>
      <c r="Q2" s="77" t="s">
        <v>76</v>
      </c>
      <c r="R2" s="78"/>
      <c r="S2" s="77" t="s">
        <v>77</v>
      </c>
      <c r="T2" s="78"/>
      <c r="U2" s="79"/>
      <c r="V2" s="73" t="s">
        <v>79</v>
      </c>
      <c r="W2" s="74"/>
      <c r="X2" s="74"/>
      <c r="Y2" s="75"/>
      <c r="Z2" s="73" t="s">
        <v>80</v>
      </c>
      <c r="AA2" s="74"/>
      <c r="AB2" s="74"/>
      <c r="AC2" s="75"/>
      <c r="AD2" s="73" t="s">
        <v>81</v>
      </c>
      <c r="AE2" s="74"/>
      <c r="AF2" s="74"/>
      <c r="AG2" s="75"/>
      <c r="AH2" s="73" t="s">
        <v>82</v>
      </c>
      <c r="AI2" s="74"/>
      <c r="AJ2" s="74"/>
      <c r="AK2" s="75"/>
      <c r="AL2" s="73" t="s">
        <v>83</v>
      </c>
      <c r="AM2" s="74"/>
      <c r="AN2" s="74"/>
      <c r="AO2" s="75"/>
      <c r="AP2" s="73" t="s">
        <v>86</v>
      </c>
      <c r="AQ2" s="74"/>
      <c r="AR2" s="74"/>
      <c r="AS2" s="75"/>
      <c r="AT2" s="73" t="s">
        <v>88</v>
      </c>
      <c r="AU2" s="74"/>
      <c r="AV2" s="74"/>
      <c r="AW2" s="75"/>
      <c r="AX2" s="73" t="s">
        <v>89</v>
      </c>
      <c r="AY2" s="74"/>
      <c r="AZ2" s="74"/>
      <c r="BA2" s="75"/>
      <c r="BB2" s="73" t="s">
        <v>90</v>
      </c>
      <c r="BC2" s="74"/>
      <c r="BD2" s="74"/>
      <c r="BE2" s="75"/>
      <c r="BF2" s="73" t="s">
        <v>92</v>
      </c>
      <c r="BG2" s="74"/>
      <c r="BH2" s="74"/>
      <c r="BI2" s="75"/>
      <c r="BJ2" s="73" t="s">
        <v>94</v>
      </c>
      <c r="BK2" s="74"/>
      <c r="BL2" s="74"/>
      <c r="BM2" s="75"/>
      <c r="BN2" s="73" t="s">
        <v>109</v>
      </c>
      <c r="BO2" s="74"/>
      <c r="BP2" s="74"/>
      <c r="BQ2" s="75"/>
      <c r="BR2" s="73" t="s">
        <v>95</v>
      </c>
      <c r="BS2" s="74"/>
      <c r="BT2" s="74"/>
      <c r="BU2" s="75"/>
      <c r="BV2" s="73" t="s">
        <v>96</v>
      </c>
      <c r="BW2" s="74"/>
      <c r="BX2" s="74"/>
      <c r="BY2" s="75"/>
      <c r="BZ2" s="80" t="s">
        <v>97</v>
      </c>
      <c r="CA2" s="81"/>
      <c r="CB2" s="82"/>
      <c r="CC2" s="80" t="s">
        <v>98</v>
      </c>
      <c r="CD2" s="81"/>
      <c r="CE2" s="82"/>
      <c r="CF2" s="80" t="s">
        <v>99</v>
      </c>
      <c r="CG2" s="81"/>
      <c r="CH2" s="81"/>
      <c r="CI2" s="82"/>
      <c r="CJ2" s="80" t="s">
        <v>100</v>
      </c>
      <c r="CK2" s="81"/>
      <c r="CL2" s="81"/>
      <c r="CM2" s="82"/>
      <c r="CN2" s="80" t="s">
        <v>101</v>
      </c>
      <c r="CO2" s="81"/>
      <c r="CP2" s="81"/>
      <c r="CQ2" s="82"/>
      <c r="CR2" s="80" t="s">
        <v>102</v>
      </c>
      <c r="CS2" s="81"/>
      <c r="CT2" s="82"/>
      <c r="CU2" s="80" t="s">
        <v>103</v>
      </c>
      <c r="CV2" s="81"/>
      <c r="CW2" s="81"/>
      <c r="CX2" s="82"/>
      <c r="CY2" s="80" t="s">
        <v>104</v>
      </c>
      <c r="CZ2" s="81"/>
      <c r="DA2" s="81"/>
      <c r="DB2" s="82"/>
      <c r="DC2" s="84" t="s">
        <v>69</v>
      </c>
      <c r="DD2" s="54"/>
      <c r="DE2" s="53" t="s">
        <v>105</v>
      </c>
      <c r="DF2" s="80" t="s">
        <v>106</v>
      </c>
      <c r="DG2" s="81"/>
      <c r="DH2" s="81"/>
      <c r="DI2" s="82"/>
      <c r="DJ2" s="70" t="str">
        <f>Metric_Selection!C36</f>
        <v>PR Resolved</v>
      </c>
      <c r="DK2" s="71"/>
      <c r="DL2" s="71"/>
      <c r="DM2" s="72"/>
      <c r="DN2" s="70" t="str">
        <f>Metric_Selection!C37</f>
        <v>UT Automation Code</v>
      </c>
      <c r="DO2" s="71"/>
      <c r="DP2" s="71"/>
      <c r="DQ2" s="72"/>
      <c r="DR2" s="70" t="str">
        <f>Metric_Selection!C38</f>
        <v>Reopen PRs</v>
      </c>
      <c r="DS2" s="71"/>
      <c r="DT2" s="71"/>
      <c r="DU2" s="72"/>
      <c r="DV2" s="70" t="str">
        <f>Metric_Selection!C39</f>
        <v>Metrics4</v>
      </c>
      <c r="DW2" s="71"/>
      <c r="DX2" s="71"/>
      <c r="DY2" s="72"/>
      <c r="DZ2" s="70" t="str">
        <f>Metric_Selection!C40</f>
        <v>Metrics5</v>
      </c>
      <c r="EA2" s="71"/>
      <c r="EB2" s="71"/>
      <c r="EC2" s="72"/>
      <c r="ED2" s="70" t="str">
        <f>Metric_Selection!C41</f>
        <v>Metrics6</v>
      </c>
      <c r="EE2" s="71"/>
      <c r="EF2" s="71"/>
      <c r="EG2" s="72"/>
      <c r="EH2" s="70" t="str">
        <f>Metric_Selection!C42</f>
        <v>Metrics7</v>
      </c>
      <c r="EI2" s="71"/>
      <c r="EJ2" s="71"/>
      <c r="EK2" s="72"/>
      <c r="EL2" s="70" t="str">
        <f>Metric_Selection!C43</f>
        <v>Metrics8</v>
      </c>
      <c r="EM2" s="71"/>
      <c r="EN2" s="71"/>
      <c r="EO2" s="72"/>
      <c r="EP2" s="70" t="str">
        <f>Metric_Selection!C44</f>
        <v>Metrics9</v>
      </c>
      <c r="EQ2" s="71"/>
      <c r="ER2" s="71"/>
      <c r="ES2" s="72"/>
      <c r="ET2" s="70" t="str">
        <f>Metric_Selection!C45</f>
        <v>Metrics10</v>
      </c>
      <c r="EU2" s="71"/>
      <c r="EV2" s="71"/>
      <c r="EW2" s="72"/>
      <c r="EX2" s="70" t="str">
        <f>Metric_Selection!C46</f>
        <v>Metrics11</v>
      </c>
      <c r="EY2" s="71"/>
      <c r="EZ2" s="71"/>
      <c r="FA2" s="72"/>
      <c r="FB2" s="70" t="str">
        <f>Metric_Selection!C47</f>
        <v>Metrics12</v>
      </c>
      <c r="FC2" s="71"/>
      <c r="FD2" s="71"/>
      <c r="FE2" s="72"/>
      <c r="FF2" s="70" t="str">
        <f>Metric_Selection!C48</f>
        <v>Metrics13</v>
      </c>
      <c r="FG2" s="71"/>
      <c r="FH2" s="71"/>
      <c r="FI2" s="72"/>
      <c r="FJ2" s="70" t="str">
        <f>Metric_Selection!C49</f>
        <v>Metrics14</v>
      </c>
      <c r="FK2" s="71"/>
      <c r="FL2" s="71"/>
      <c r="FM2" s="72"/>
      <c r="FN2" s="70" t="str">
        <f>Metric_Selection!C50</f>
        <v>Metrics15</v>
      </c>
      <c r="FO2" s="71"/>
      <c r="FP2" s="71"/>
      <c r="FQ2" s="72"/>
      <c r="FR2" s="83" t="s">
        <v>117</v>
      </c>
      <c r="FS2" s="83" t="s">
        <v>118</v>
      </c>
      <c r="FT2" s="83" t="s">
        <v>119</v>
      </c>
    </row>
    <row r="3" spans="1:176" s="21" customFormat="1" ht="63.75" x14ac:dyDescent="0.25">
      <c r="A3" s="76"/>
      <c r="B3" s="18" t="s">
        <v>74</v>
      </c>
      <c r="C3" s="18" t="s">
        <v>26</v>
      </c>
      <c r="D3" s="18" t="s">
        <v>265</v>
      </c>
      <c r="E3" s="19" t="s">
        <v>27</v>
      </c>
      <c r="F3" s="19" t="s">
        <v>28</v>
      </c>
      <c r="G3" s="20" t="s">
        <v>140</v>
      </c>
      <c r="H3" s="29" t="s">
        <v>87</v>
      </c>
      <c r="I3" s="19" t="s">
        <v>29</v>
      </c>
      <c r="J3" s="19" t="s">
        <v>30</v>
      </c>
      <c r="K3" s="20" t="s">
        <v>140</v>
      </c>
      <c r="L3" s="29" t="s">
        <v>111</v>
      </c>
      <c r="M3" s="84"/>
      <c r="N3" s="84"/>
      <c r="O3" s="20" t="s">
        <v>140</v>
      </c>
      <c r="P3" s="29" t="s">
        <v>75</v>
      </c>
      <c r="Q3" s="20" t="s">
        <v>140</v>
      </c>
      <c r="R3" s="29" t="s">
        <v>76</v>
      </c>
      <c r="S3" s="19" t="s">
        <v>33</v>
      </c>
      <c r="T3" s="20" t="s">
        <v>140</v>
      </c>
      <c r="U3" s="29" t="s">
        <v>77</v>
      </c>
      <c r="V3" s="19" t="s">
        <v>34</v>
      </c>
      <c r="W3" s="19" t="s">
        <v>35</v>
      </c>
      <c r="X3" s="20" t="s">
        <v>140</v>
      </c>
      <c r="Y3" s="20" t="s">
        <v>78</v>
      </c>
      <c r="Z3" s="19" t="s">
        <v>36</v>
      </c>
      <c r="AA3" s="19" t="s">
        <v>37</v>
      </c>
      <c r="AB3" s="20" t="s">
        <v>140</v>
      </c>
      <c r="AC3" s="20" t="s">
        <v>80</v>
      </c>
      <c r="AD3" s="19" t="s">
        <v>38</v>
      </c>
      <c r="AE3" s="19" t="s">
        <v>39</v>
      </c>
      <c r="AF3" s="20" t="s">
        <v>140</v>
      </c>
      <c r="AG3" s="20" t="s">
        <v>81</v>
      </c>
      <c r="AH3" s="19" t="s">
        <v>84</v>
      </c>
      <c r="AI3" s="19" t="s">
        <v>39</v>
      </c>
      <c r="AJ3" s="20" t="s">
        <v>140</v>
      </c>
      <c r="AK3" s="20" t="s">
        <v>82</v>
      </c>
      <c r="AL3" s="19" t="s">
        <v>85</v>
      </c>
      <c r="AM3" s="19" t="s">
        <v>39</v>
      </c>
      <c r="AN3" s="20" t="s">
        <v>140</v>
      </c>
      <c r="AO3" s="20" t="s">
        <v>83</v>
      </c>
      <c r="AP3" s="19" t="s">
        <v>40</v>
      </c>
      <c r="AQ3" s="19" t="s">
        <v>41</v>
      </c>
      <c r="AR3" s="20" t="s">
        <v>140</v>
      </c>
      <c r="AS3" s="20" t="s">
        <v>86</v>
      </c>
      <c r="AT3" s="19" t="s">
        <v>42</v>
      </c>
      <c r="AU3" s="19" t="s">
        <v>43</v>
      </c>
      <c r="AV3" s="20" t="s">
        <v>140</v>
      </c>
      <c r="AW3" s="20" t="s">
        <v>88</v>
      </c>
      <c r="AX3" s="19" t="s">
        <v>44</v>
      </c>
      <c r="AY3" s="19" t="s">
        <v>45</v>
      </c>
      <c r="AZ3" s="20" t="s">
        <v>140</v>
      </c>
      <c r="BA3" s="20" t="s">
        <v>89</v>
      </c>
      <c r="BB3" s="19" t="s">
        <v>46</v>
      </c>
      <c r="BC3" s="19" t="s">
        <v>47</v>
      </c>
      <c r="BD3" s="20" t="s">
        <v>140</v>
      </c>
      <c r="BE3" s="20" t="s">
        <v>91</v>
      </c>
      <c r="BF3" s="19" t="s">
        <v>48</v>
      </c>
      <c r="BG3" s="19" t="s">
        <v>49</v>
      </c>
      <c r="BH3" s="20" t="s">
        <v>140</v>
      </c>
      <c r="BI3" s="20" t="s">
        <v>93</v>
      </c>
      <c r="BJ3" s="19" t="s">
        <v>50</v>
      </c>
      <c r="BK3" s="19" t="s">
        <v>51</v>
      </c>
      <c r="BL3" s="20" t="s">
        <v>140</v>
      </c>
      <c r="BM3" s="20" t="s">
        <v>94</v>
      </c>
      <c r="BN3" s="19" t="s">
        <v>107</v>
      </c>
      <c r="BO3" s="19" t="s">
        <v>108</v>
      </c>
      <c r="BP3" s="20" t="s">
        <v>140</v>
      </c>
      <c r="BQ3" s="20" t="s">
        <v>109</v>
      </c>
      <c r="BR3" s="19" t="s">
        <v>52</v>
      </c>
      <c r="BS3" s="19" t="s">
        <v>53</v>
      </c>
      <c r="BT3" s="20" t="s">
        <v>140</v>
      </c>
      <c r="BU3" s="20" t="s">
        <v>95</v>
      </c>
      <c r="BV3" s="19" t="s">
        <v>54</v>
      </c>
      <c r="BW3" s="19" t="s">
        <v>55</v>
      </c>
      <c r="BX3" s="20" t="s">
        <v>140</v>
      </c>
      <c r="BY3" s="20" t="s">
        <v>96</v>
      </c>
      <c r="BZ3" s="19" t="s">
        <v>56</v>
      </c>
      <c r="CA3" s="20" t="s">
        <v>140</v>
      </c>
      <c r="CB3" s="20" t="s">
        <v>97</v>
      </c>
      <c r="CC3" s="19" t="s">
        <v>57</v>
      </c>
      <c r="CD3" s="20" t="s">
        <v>140</v>
      </c>
      <c r="CE3" s="20" t="s">
        <v>98</v>
      </c>
      <c r="CF3" s="19" t="s">
        <v>58</v>
      </c>
      <c r="CG3" s="19" t="s">
        <v>59</v>
      </c>
      <c r="CH3" s="20" t="s">
        <v>140</v>
      </c>
      <c r="CI3" s="20" t="s">
        <v>99</v>
      </c>
      <c r="CJ3" s="19" t="s">
        <v>62</v>
      </c>
      <c r="CK3" s="19" t="s">
        <v>60</v>
      </c>
      <c r="CL3" s="20" t="s">
        <v>140</v>
      </c>
      <c r="CM3" s="20" t="s">
        <v>100</v>
      </c>
      <c r="CN3" s="19" t="s">
        <v>61</v>
      </c>
      <c r="CO3" s="19" t="s">
        <v>63</v>
      </c>
      <c r="CP3" s="20" t="s">
        <v>140</v>
      </c>
      <c r="CQ3" s="20" t="s">
        <v>101</v>
      </c>
      <c r="CR3" s="19" t="s">
        <v>64</v>
      </c>
      <c r="CS3" s="20" t="s">
        <v>140</v>
      </c>
      <c r="CT3" s="20" t="s">
        <v>102</v>
      </c>
      <c r="CU3" s="19" t="s">
        <v>65</v>
      </c>
      <c r="CV3" s="19" t="s">
        <v>66</v>
      </c>
      <c r="CW3" s="20" t="s">
        <v>140</v>
      </c>
      <c r="CX3" s="20" t="s">
        <v>103</v>
      </c>
      <c r="CY3" s="19" t="s">
        <v>67</v>
      </c>
      <c r="CZ3" s="19" t="s">
        <v>68</v>
      </c>
      <c r="DA3" s="20" t="s">
        <v>140</v>
      </c>
      <c r="DB3" s="20" t="s">
        <v>104</v>
      </c>
      <c r="DC3" s="84"/>
      <c r="DD3" s="55" t="s">
        <v>140</v>
      </c>
      <c r="DE3" s="20" t="s">
        <v>105</v>
      </c>
      <c r="DF3" s="19" t="s">
        <v>70</v>
      </c>
      <c r="DG3" s="19" t="s">
        <v>71</v>
      </c>
      <c r="DH3" s="20" t="s">
        <v>140</v>
      </c>
      <c r="DI3" s="20" t="s">
        <v>106</v>
      </c>
      <c r="DJ3" s="19" t="s">
        <v>267</v>
      </c>
      <c r="DK3" s="19" t="s">
        <v>272</v>
      </c>
      <c r="DL3" s="20" t="s">
        <v>140</v>
      </c>
      <c r="DM3" s="20" t="s">
        <v>246</v>
      </c>
      <c r="DN3" s="58" t="s">
        <v>269</v>
      </c>
      <c r="DO3" s="58" t="s">
        <v>270</v>
      </c>
      <c r="DP3" s="20" t="s">
        <v>140</v>
      </c>
      <c r="DQ3" s="20" t="s">
        <v>246</v>
      </c>
      <c r="DR3" s="58" t="s">
        <v>271</v>
      </c>
      <c r="DS3" s="58" t="s">
        <v>267</v>
      </c>
      <c r="DT3" s="20" t="s">
        <v>140</v>
      </c>
      <c r="DU3" s="20" t="s">
        <v>246</v>
      </c>
      <c r="DV3" s="19" t="s">
        <v>112</v>
      </c>
      <c r="DW3" s="19" t="s">
        <v>113</v>
      </c>
      <c r="DX3" s="20" t="s">
        <v>140</v>
      </c>
      <c r="DY3" s="20" t="s">
        <v>246</v>
      </c>
      <c r="DZ3" s="19" t="s">
        <v>114</v>
      </c>
      <c r="EA3" s="19" t="s">
        <v>115</v>
      </c>
      <c r="EB3" s="20" t="s">
        <v>140</v>
      </c>
      <c r="EC3" s="20" t="s">
        <v>246</v>
      </c>
      <c r="ED3" s="19" t="s">
        <v>120</v>
      </c>
      <c r="EE3" s="19" t="s">
        <v>121</v>
      </c>
      <c r="EF3" s="20" t="s">
        <v>140</v>
      </c>
      <c r="EG3" s="20" t="s">
        <v>246</v>
      </c>
      <c r="EH3" s="19" t="s">
        <v>122</v>
      </c>
      <c r="EI3" s="19" t="s">
        <v>123</v>
      </c>
      <c r="EJ3" s="20" t="s">
        <v>140</v>
      </c>
      <c r="EK3" s="20" t="s">
        <v>246</v>
      </c>
      <c r="EL3" s="19" t="s">
        <v>124</v>
      </c>
      <c r="EM3" s="19" t="s">
        <v>125</v>
      </c>
      <c r="EN3" s="20" t="s">
        <v>140</v>
      </c>
      <c r="EO3" s="20" t="s">
        <v>246</v>
      </c>
      <c r="EP3" s="19" t="s">
        <v>126</v>
      </c>
      <c r="EQ3" s="19" t="s">
        <v>127</v>
      </c>
      <c r="ER3" s="20" t="s">
        <v>140</v>
      </c>
      <c r="ES3" s="20" t="s">
        <v>246</v>
      </c>
      <c r="ET3" s="19" t="s">
        <v>128</v>
      </c>
      <c r="EU3" s="19" t="s">
        <v>129</v>
      </c>
      <c r="EV3" s="20" t="s">
        <v>140</v>
      </c>
      <c r="EW3" s="20" t="s">
        <v>246</v>
      </c>
      <c r="EX3" s="19" t="s">
        <v>130</v>
      </c>
      <c r="EY3" s="19" t="s">
        <v>131</v>
      </c>
      <c r="EZ3" s="20" t="s">
        <v>140</v>
      </c>
      <c r="FA3" s="20" t="s">
        <v>246</v>
      </c>
      <c r="FB3" s="19" t="s">
        <v>132</v>
      </c>
      <c r="FC3" s="19" t="s">
        <v>133</v>
      </c>
      <c r="FD3" s="20" t="s">
        <v>140</v>
      </c>
      <c r="FE3" s="20" t="s">
        <v>246</v>
      </c>
      <c r="FF3" s="19" t="s">
        <v>134</v>
      </c>
      <c r="FG3" s="19" t="s">
        <v>135</v>
      </c>
      <c r="FH3" s="20" t="s">
        <v>140</v>
      </c>
      <c r="FI3" s="20" t="s">
        <v>246</v>
      </c>
      <c r="FJ3" s="19" t="s">
        <v>136</v>
      </c>
      <c r="FK3" s="19" t="s">
        <v>137</v>
      </c>
      <c r="FL3" s="20" t="s">
        <v>140</v>
      </c>
      <c r="FM3" s="20" t="s">
        <v>246</v>
      </c>
      <c r="FN3" s="19" t="s">
        <v>138</v>
      </c>
      <c r="FO3" s="19" t="s">
        <v>139</v>
      </c>
      <c r="FP3" s="20" t="s">
        <v>140</v>
      </c>
      <c r="FQ3" s="20" t="s">
        <v>246</v>
      </c>
      <c r="FR3" s="83"/>
      <c r="FS3" s="83"/>
      <c r="FT3" s="83"/>
    </row>
    <row r="4" spans="1:176" s="61" customFormat="1" ht="26.25" customHeight="1" x14ac:dyDescent="0.25">
      <c r="A4" s="30" t="str">
        <f>(C4&amp;" "&amp;B4)</f>
        <v>C144607 MBH</v>
      </c>
      <c r="B4" s="14" t="s">
        <v>274</v>
      </c>
      <c r="C4" s="14" t="str">
        <f>Index!B4</f>
        <v>C144607</v>
      </c>
      <c r="D4" s="18" t="s">
        <v>266</v>
      </c>
      <c r="E4" s="31">
        <f>SUM(E5:E1048576)</f>
        <v>0</v>
      </c>
      <c r="F4" s="31">
        <f>SUM(F5:F1048576)</f>
        <v>0</v>
      </c>
      <c r="G4" s="24"/>
      <c r="H4" s="31" t="str">
        <f>IF(AND(E4=0,F4=0),"",(E4/F4))</f>
        <v/>
      </c>
      <c r="I4" s="31">
        <f>SUM(I5:I1048576)</f>
        <v>0</v>
      </c>
      <c r="J4" s="31">
        <f>SUM(J5:J1048576)</f>
        <v>0</v>
      </c>
      <c r="K4" s="24"/>
      <c r="L4" s="31" t="str">
        <f>IF(AND(I4=0,J4=0),"",(I4/J4))</f>
        <v/>
      </c>
      <c r="M4" s="31">
        <f>SUM(M5:M1048576)</f>
        <v>0</v>
      </c>
      <c r="N4" s="31">
        <f>SUM(N5:N1048576)</f>
        <v>0</v>
      </c>
      <c r="O4" s="24"/>
      <c r="P4" s="31" t="str">
        <f>IF(AND(M4=0,N4=0),"",(M4/N4))</f>
        <v/>
      </c>
      <c r="Q4" s="24"/>
      <c r="R4" s="31" t="str">
        <f>IF(AND(M4=0,N4=0),"",(M4/N4))</f>
        <v/>
      </c>
      <c r="S4" s="31">
        <f>SUM(S5:S1048576)</f>
        <v>0</v>
      </c>
      <c r="T4" s="24"/>
      <c r="U4" s="31" t="str">
        <f>IF(AND(N4=0, S4=0),"",(S4/N4))</f>
        <v/>
      </c>
      <c r="V4" s="31">
        <f>SUM(V5:V1048576)</f>
        <v>0</v>
      </c>
      <c r="W4" s="31">
        <f>SUM(W5:W1048576)</f>
        <v>0</v>
      </c>
      <c r="X4" s="24"/>
      <c r="Y4" s="31" t="str">
        <f>IF(AND(V4=0, W4=0),"",(V4/W4)*100)</f>
        <v/>
      </c>
      <c r="Z4" s="31">
        <f>SUM(Z5:Z1048576)</f>
        <v>0</v>
      </c>
      <c r="AA4" s="31">
        <f>SUM(AA5:AA1048576)</f>
        <v>0</v>
      </c>
      <c r="AB4" s="24"/>
      <c r="AC4" s="31" t="str">
        <f>IF(AND(Z4=0, AA4=0),"",(Z4*100/AA4))</f>
        <v/>
      </c>
      <c r="AD4" s="31">
        <f>SUM(AD5:AD1048576)</f>
        <v>0</v>
      </c>
      <c r="AE4" s="31">
        <f>SUM(AE5:AE1048576)</f>
        <v>0</v>
      </c>
      <c r="AF4" s="24"/>
      <c r="AG4" s="31" t="str">
        <f>IF(AND(AD4=0, AE4=0),"",(AD4/AE4))</f>
        <v/>
      </c>
      <c r="AH4" s="31">
        <f>SUM(AH5:AH1048576)</f>
        <v>0</v>
      </c>
      <c r="AI4" s="31">
        <f>SUM(AI5:AI1048576)</f>
        <v>0</v>
      </c>
      <c r="AJ4" s="24"/>
      <c r="AK4" s="31" t="str">
        <f>IF(AND(AH4=0, AI4=0),"",(AH4/AI4))</f>
        <v/>
      </c>
      <c r="AL4" s="31">
        <f>SUM(AL5:AL1048576)</f>
        <v>0</v>
      </c>
      <c r="AM4" s="31">
        <f>SUM(AM5:AM1048576)</f>
        <v>0</v>
      </c>
      <c r="AN4" s="24"/>
      <c r="AO4" s="31" t="str">
        <f>IF(AND(AL4=0, AM4=0),"",(AL4/AM4))</f>
        <v/>
      </c>
      <c r="AP4" s="31">
        <f>SUM(AP5:AP1048576)</f>
        <v>0</v>
      </c>
      <c r="AQ4" s="31">
        <f>SUM(AQ5:AQ1048576)</f>
        <v>0</v>
      </c>
      <c r="AR4" s="24"/>
      <c r="AS4" s="31" t="str">
        <f>IF(AND(AP4=0, AQ4=0),"",(AP4/AQ4)*100)</f>
        <v/>
      </c>
      <c r="AT4" s="31">
        <f>SUM(AT5:AT1048576)</f>
        <v>0</v>
      </c>
      <c r="AU4" s="31">
        <f>SUM(AU5:AU1048576)</f>
        <v>0</v>
      </c>
      <c r="AV4" s="24"/>
      <c r="AW4" s="31" t="str">
        <f>IF(AND(AT4=0, AU4=0),"",(AT4/(AT4+AU4))*100)</f>
        <v/>
      </c>
      <c r="AX4" s="31">
        <f>SUM(AX5:AX1048576)</f>
        <v>0</v>
      </c>
      <c r="AY4" s="31">
        <f>SUM(AY5:AY1048576)</f>
        <v>0</v>
      </c>
      <c r="AZ4" s="24"/>
      <c r="BA4" s="31" t="str">
        <f>IF(AND(AX4=0, AY4=0),"",(AX4/AY4)*100)</f>
        <v/>
      </c>
      <c r="BB4" s="31">
        <f>SUM(BB5:BB1048576)</f>
        <v>0</v>
      </c>
      <c r="BC4" s="31">
        <f>SUM(BC5:BC1048576)</f>
        <v>0</v>
      </c>
      <c r="BD4" s="24"/>
      <c r="BE4" s="31" t="str">
        <f>IF(AND(BB4=0, BC4=0),"",(BB4/(BB4+BC4))*100)</f>
        <v/>
      </c>
      <c r="BF4" s="31">
        <f>SUM(BF5:BF1048576)</f>
        <v>0</v>
      </c>
      <c r="BG4" s="31">
        <f>SUM(BG5:BG1048576)</f>
        <v>0</v>
      </c>
      <c r="BH4" s="24"/>
      <c r="BI4" s="31" t="str">
        <f>IF(AND(BF4=0, BG4=0),"",(BF4/BG4)*100)</f>
        <v/>
      </c>
      <c r="BJ4" s="31">
        <f>SUM(BJ5:BJ1048576)</f>
        <v>0</v>
      </c>
      <c r="BK4" s="31">
        <f>SUM(BK5:BK1048576)</f>
        <v>0</v>
      </c>
      <c r="BL4" s="24"/>
      <c r="BM4" s="31" t="str">
        <f>IF(AND(BJ4=0, BK4=0),"",(BJ4/BK4)*100)</f>
        <v/>
      </c>
      <c r="BN4" s="31">
        <f>SUM(BN5:BN1048576)</f>
        <v>0</v>
      </c>
      <c r="BO4" s="31">
        <f>SUM(BO5:BO1048576)</f>
        <v>0</v>
      </c>
      <c r="BP4" s="24"/>
      <c r="BQ4" s="31" t="str">
        <f>IF(AND(BN4=0,BO4=0),"",(BN4/BO4)*100)</f>
        <v/>
      </c>
      <c r="BR4" s="31">
        <f>SUM(BR5:BR1048576)</f>
        <v>0</v>
      </c>
      <c r="BS4" s="31">
        <f>SUM(BS5:BS1048576)</f>
        <v>0</v>
      </c>
      <c r="BT4" s="24"/>
      <c r="BU4" s="31" t="str">
        <f>IF(AND(BR4=0, BS4=0),"",(BR4/(BR4+BS4))*100)</f>
        <v/>
      </c>
      <c r="BV4" s="31">
        <f>SUM(BV5:BV1048576)</f>
        <v>0</v>
      </c>
      <c r="BW4" s="31">
        <f>SUM(BW5:BW1048576)</f>
        <v>0</v>
      </c>
      <c r="BX4" s="24"/>
      <c r="BY4" s="31" t="str">
        <f>IF(AND(BV4=0,BW4=0),"",((1-(BV4/BW4))*100))</f>
        <v/>
      </c>
      <c r="BZ4" s="31">
        <f>SUM(BZ5:BZ1048576)</f>
        <v>0</v>
      </c>
      <c r="CA4" s="24"/>
      <c r="CB4" s="31" t="str">
        <f t="shared" ref="CB4:CB5" si="0">IF(AND(BZ4=0,F4=0),"",(BZ4/F4))</f>
        <v/>
      </c>
      <c r="CC4" s="31">
        <f>SUM(CC5:CC1048576)</f>
        <v>0</v>
      </c>
      <c r="CD4" s="24"/>
      <c r="CE4" s="31" t="str">
        <f t="shared" ref="CE4" si="1">IF(AND(CC4=0,J4=0),"",(CC4/J4))</f>
        <v/>
      </c>
      <c r="CF4" s="31">
        <f>SUM(CF5:CF1048576)</f>
        <v>0</v>
      </c>
      <c r="CG4" s="31">
        <f>SUM(CG5:CG1048576)</f>
        <v>0</v>
      </c>
      <c r="CH4" s="24"/>
      <c r="CI4" s="31" t="str">
        <f>IF(AND(CF4=0,CG4=0),"",(CF4/CG4))</f>
        <v/>
      </c>
      <c r="CJ4" s="31">
        <f>SUM(CJ5:CJ1048576)</f>
        <v>0</v>
      </c>
      <c r="CK4" s="31">
        <f>SUM(CK5:CK1048576)</f>
        <v>0</v>
      </c>
      <c r="CL4" s="24"/>
      <c r="CM4" s="31" t="str">
        <f>IF(AND(CJ4=0,CK4=0),"",(CJ4/CK4))</f>
        <v/>
      </c>
      <c r="CN4" s="31">
        <f>SUM(CN5:CN1048576)</f>
        <v>0</v>
      </c>
      <c r="CO4" s="31">
        <f>SUM(CO5:CO1048576)</f>
        <v>0</v>
      </c>
      <c r="CP4" s="24"/>
      <c r="CQ4" s="31" t="str">
        <f>IF(AND(CN4=0,CO4=0),"",(CN4/CO4))</f>
        <v/>
      </c>
      <c r="CR4" s="31">
        <f>SUM(CR5:CR1048576)</f>
        <v>0</v>
      </c>
      <c r="CS4" s="24"/>
      <c r="CT4" s="31" t="str">
        <f>IF(AND(BZ4=0,CR4=0),"",(BZ4/CR4))</f>
        <v/>
      </c>
      <c r="CU4" s="31">
        <f>SUM(CU5:CU1048576)</f>
        <v>0</v>
      </c>
      <c r="CV4" s="31">
        <f>SUM(CV5:CV1048576)</f>
        <v>0</v>
      </c>
      <c r="CW4" s="24"/>
      <c r="CX4" s="31" t="str">
        <f>IF(AND(CU4=0,CV4=0),"",(CU4/CV4))</f>
        <v/>
      </c>
      <c r="CY4" s="31">
        <f>SUM(CY5:CY1048576)</f>
        <v>0</v>
      </c>
      <c r="CZ4" s="31">
        <f>SUM(CZ5:CZ1048576)</f>
        <v>0</v>
      </c>
      <c r="DA4" s="24"/>
      <c r="DB4" s="31" t="str">
        <f>IF(AND(CY4=0,CZ4=0),"",(CY4/CZ4))</f>
        <v/>
      </c>
      <c r="DC4" s="31">
        <f>SUM(DC5:DC1048576)</f>
        <v>0</v>
      </c>
      <c r="DD4" s="24"/>
      <c r="DE4" s="31" t="str">
        <f>IF(AND(DC4=0,CZ4=0),"",(DC4/CZ4))</f>
        <v/>
      </c>
      <c r="DF4" s="31">
        <f>SUM(DF5:DF1048576)</f>
        <v>0</v>
      </c>
      <c r="DG4" s="31">
        <f>SUM(DG5:DG1048576)</f>
        <v>0</v>
      </c>
      <c r="DH4" s="24"/>
      <c r="DI4" s="31" t="str">
        <f>IF(AND(DF4=0,DG4=0),"",(DF4/DG4))</f>
        <v/>
      </c>
      <c r="DJ4" s="31">
        <f>SUM(DJ5:DJ1048576)</f>
        <v>100</v>
      </c>
      <c r="DK4" s="31">
        <f>SUM(DK5:DK1048576)</f>
        <v>16</v>
      </c>
      <c r="DL4" s="24">
        <v>1</v>
      </c>
      <c r="DM4" s="31">
        <f t="shared" ref="DM4:DM8" si="2">IF(AND(DJ4=0,DK4=0),"",(DJ4/DK4))</f>
        <v>6.25</v>
      </c>
      <c r="DN4" s="31">
        <f>SUM(DN5:DN1048576)</f>
        <v>160</v>
      </c>
      <c r="DO4" s="31">
        <v>1</v>
      </c>
      <c r="DP4" s="24"/>
      <c r="DQ4" s="31">
        <f>IF(AND(DN4=0,DO4=0),"",(DN4/DO4))</f>
        <v>160</v>
      </c>
      <c r="DR4" s="31">
        <f>SUM(DR5:DR1048576)</f>
        <v>0</v>
      </c>
      <c r="DS4" s="31">
        <f>SUM(DS5:DS1048576)</f>
        <v>52</v>
      </c>
      <c r="DT4" s="64">
        <v>0.1</v>
      </c>
      <c r="DU4" s="62">
        <f>IF(AND(DR4=0,DS4=0),"",(DR4/DS4))</f>
        <v>0</v>
      </c>
      <c r="DV4" s="31">
        <f>SUM(DV5:DV1048576)</f>
        <v>0</v>
      </c>
      <c r="DW4" s="31">
        <f>SUM(DW5:DW1048576)</f>
        <v>0</v>
      </c>
      <c r="DX4" s="24"/>
      <c r="DY4" s="31" t="str">
        <f>IF(AND(DV4=0,DW4=0),"",(DV4/DW4))</f>
        <v/>
      </c>
      <c r="DZ4" s="31">
        <f>SUM(DZ5:DZ1048576)</f>
        <v>0</v>
      </c>
      <c r="EA4" s="31">
        <f>SUM(EA5:EA1048576)</f>
        <v>0</v>
      </c>
      <c r="EB4" s="24"/>
      <c r="EC4" s="31" t="str">
        <f>IF(AND(DZ4=0,EA4=0),"",(DZ4/EA4))</f>
        <v/>
      </c>
      <c r="ED4" s="31">
        <f>SUM(ED5:ED1048576)</f>
        <v>0</v>
      </c>
      <c r="EE4" s="31">
        <f>SUM(EE5:EE1048576)</f>
        <v>0</v>
      </c>
      <c r="EF4" s="24"/>
      <c r="EG4" s="31" t="str">
        <f>IF(AND(ED4=0,EE4=0),"",(ED4/EE4))</f>
        <v/>
      </c>
      <c r="EH4" s="31">
        <f>SUM(EH5:EH1048576)</f>
        <v>0</v>
      </c>
      <c r="EI4" s="31">
        <f>SUM(EI5:EI1048576)</f>
        <v>0</v>
      </c>
      <c r="EJ4" s="24"/>
      <c r="EK4" s="31" t="str">
        <f>IF(AND(EH4=0,EI4=0),"",(EH4/EI4))</f>
        <v/>
      </c>
      <c r="EL4" s="31">
        <f>SUM(EL5:EL1048576)</f>
        <v>0</v>
      </c>
      <c r="EM4" s="31">
        <f>SUM(EM5:EM1048576)</f>
        <v>0</v>
      </c>
      <c r="EN4" s="24"/>
      <c r="EO4" s="31" t="str">
        <f>IF(AND(EL4=0,EM4=0),"",(EL4/EM4))</f>
        <v/>
      </c>
      <c r="EP4" s="31">
        <f>SUM(EP5:EP1048576)</f>
        <v>0</v>
      </c>
      <c r="EQ4" s="31">
        <f>SUM(EQ5:EQ1048576)</f>
        <v>0</v>
      </c>
      <c r="ER4" s="24"/>
      <c r="ES4" s="31" t="str">
        <f>IF(AND(EP4=0,EQ4=0),"",(EP4/EQ4))</f>
        <v/>
      </c>
      <c r="ET4" s="31">
        <f>SUM(ET5:ET1048576)</f>
        <v>0</v>
      </c>
      <c r="EU4" s="31">
        <f>SUM(EU5:EU1048576)</f>
        <v>0</v>
      </c>
      <c r="EV4" s="24"/>
      <c r="EW4" s="31" t="str">
        <f>IF(AND(ET4=0,EU4=0),"",(ET4/EU4))</f>
        <v/>
      </c>
      <c r="EX4" s="31">
        <f>SUM(EX5:EX1048576)</f>
        <v>0</v>
      </c>
      <c r="EY4" s="31">
        <f>SUM(EY5:EY1048576)</f>
        <v>0</v>
      </c>
      <c r="EZ4" s="24"/>
      <c r="FA4" s="31" t="str">
        <f>IF(AND(EX4=0,EY4=0),"",(EX4/EY4))</f>
        <v/>
      </c>
      <c r="FB4" s="31">
        <f>SUM(FB5:FB1048576)</f>
        <v>0</v>
      </c>
      <c r="FC4" s="31">
        <f>SUM(FC5:FC1048576)</f>
        <v>0</v>
      </c>
      <c r="FD4" s="24"/>
      <c r="FE4" s="31" t="str">
        <f>IF(AND(FB4=0,FC4=0),"",(FB4/FC4))</f>
        <v/>
      </c>
      <c r="FF4" s="31">
        <f>SUM(FF5:FF1048576)</f>
        <v>0</v>
      </c>
      <c r="FG4" s="31">
        <f>SUM(FG5:FG1048576)</f>
        <v>0</v>
      </c>
      <c r="FH4" s="24"/>
      <c r="FI4" s="31" t="str">
        <f>IF(AND(FF4=0,FG4=0),"",(FF4/FG4))</f>
        <v/>
      </c>
      <c r="FJ4" s="31">
        <f>SUM(FJ5:FJ1048576)</f>
        <v>0</v>
      </c>
      <c r="FK4" s="31">
        <f>SUM(FK5:FK1048576)</f>
        <v>0</v>
      </c>
      <c r="FL4" s="24"/>
      <c r="FM4" s="31" t="str">
        <f>IF(AND(FJ4=0,FK4=0),"",(FJ4/FK4))</f>
        <v/>
      </c>
      <c r="FN4" s="31">
        <f>SUM(FN5:FN1048576)</f>
        <v>0</v>
      </c>
      <c r="FO4" s="31">
        <f>SUM(FO5:FO1048576)</f>
        <v>0</v>
      </c>
      <c r="FP4" s="24"/>
      <c r="FQ4" s="31" t="str">
        <f>IF(AND(FN4=0,FO4=0),"",(FN4/FO4))</f>
        <v/>
      </c>
      <c r="FR4" s="31"/>
      <c r="FS4" s="31"/>
      <c r="FT4" s="31"/>
    </row>
    <row r="5" spans="1:176" s="25" customFormat="1" ht="32.1" customHeight="1" x14ac:dyDescent="0.25">
      <c r="A5" s="30" t="str">
        <f>(C5&amp;" "&amp;B5)</f>
        <v>40102927 SYED SALAHUDDIN</v>
      </c>
      <c r="B5" s="59" t="s">
        <v>275</v>
      </c>
      <c r="C5" s="59">
        <v>40102927</v>
      </c>
      <c r="D5" s="60" t="s">
        <v>152</v>
      </c>
      <c r="E5" s="24"/>
      <c r="F5" s="24"/>
      <c r="G5" s="24"/>
      <c r="H5" s="29" t="str">
        <f>IF(AND(E5=0,F5=0),"",(E5/F5))</f>
        <v/>
      </c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9" t="str">
        <f t="shared" ref="AC5:AC18" si="3">IF(AND(Z5=0, AA5=0),"",(Z5*100/AA5))</f>
        <v/>
      </c>
      <c r="AD5" s="24"/>
      <c r="AE5" s="24"/>
      <c r="AF5" s="24"/>
      <c r="AG5" s="29" t="str">
        <f t="shared" ref="AG5:AG18" si="4">IF(AND(AD5=0, AE5=0),"",(AD5/AE5))</f>
        <v/>
      </c>
      <c r="AH5" s="24"/>
      <c r="AI5" s="24"/>
      <c r="AJ5" s="24"/>
      <c r="AK5" s="29" t="str">
        <f t="shared" ref="AK5:AK18" si="5">IF(AND(AH5=0, AI5=0),"",(AH5/AI5))</f>
        <v/>
      </c>
      <c r="AL5" s="24"/>
      <c r="AM5" s="24"/>
      <c r="AN5" s="24"/>
      <c r="AO5" s="29" t="str">
        <f t="shared" ref="AO5:AO19" si="6">IF(AND(AL5=0, AM5=0),"",(AL5/AM5))</f>
        <v/>
      </c>
      <c r="AP5" s="24"/>
      <c r="AQ5" s="24"/>
      <c r="AR5" s="24"/>
      <c r="AS5" s="29" t="str">
        <f t="shared" ref="AS5:AS19" si="7">IF(AND(AP5=0, AQ5=0),"",(AP5/AQ5)*100)</f>
        <v/>
      </c>
      <c r="AT5" s="24"/>
      <c r="AU5" s="24"/>
      <c r="AV5" s="24"/>
      <c r="AW5" s="29" t="str">
        <f>IF(AND(AT5=0, AU5=0),"",(AT5/(AT5+AU5))*100)</f>
        <v/>
      </c>
      <c r="AX5" s="24"/>
      <c r="AY5" s="24"/>
      <c r="AZ5" s="24"/>
      <c r="BA5" s="29" t="str">
        <f>IF(AND(AX5=0, AY5=0),"",(AX5/AY5)*100)</f>
        <v/>
      </c>
      <c r="BB5" s="24"/>
      <c r="BC5" s="24"/>
      <c r="BD5" s="24"/>
      <c r="BE5" s="29" t="str">
        <f t="shared" ref="BE5:BE18" si="8">IF(AND(BB5=0, BC5=0),"",(BB5/(BB5+BC5))*100)</f>
        <v/>
      </c>
      <c r="BF5" s="24"/>
      <c r="BG5" s="24"/>
      <c r="BH5" s="24"/>
      <c r="BI5" s="29" t="str">
        <f t="shared" ref="BI5:BI18" si="9">IF(AND(BF5=0, BG5=0),"",(BF5/BG5)*100)</f>
        <v/>
      </c>
      <c r="BJ5" s="24"/>
      <c r="BK5" s="24"/>
      <c r="BL5" s="24"/>
      <c r="BM5" s="29" t="str">
        <f>IF(AND(BJ5=0, BK5=0),"",(BJ5/BK5)*100)</f>
        <v/>
      </c>
      <c r="BN5" s="24"/>
      <c r="BO5" s="24"/>
      <c r="BP5" s="24"/>
      <c r="BQ5" s="29" t="str">
        <f t="shared" ref="BQ5:BQ18" si="10">IF(AND(BN5=0,BO5=0),"",(BN5/BO5)*100)</f>
        <v/>
      </c>
      <c r="BR5" s="24"/>
      <c r="BS5" s="24"/>
      <c r="BT5" s="24"/>
      <c r="BU5" s="29" t="str">
        <f t="shared" ref="BU5:BU18" si="11">IF(AND(BR5=0, BS5=0),"",(BR5/(BR5+BS5))*100)</f>
        <v/>
      </c>
      <c r="BV5" s="24"/>
      <c r="BW5" s="24"/>
      <c r="BX5" s="24"/>
      <c r="BY5" s="29" t="str">
        <f t="shared" ref="BY5:BY19" si="12">IF(AND(BV5=0,BW5=0),"",((1-(BV5/BW5))*100))</f>
        <v/>
      </c>
      <c r="BZ5" s="24"/>
      <c r="CA5" s="24"/>
      <c r="CB5" s="29" t="str">
        <f t="shared" si="0"/>
        <v/>
      </c>
      <c r="CC5" s="24"/>
      <c r="CD5" s="24"/>
      <c r="CE5" s="29" t="str">
        <f>IF(AND(CC5=0,J5=0),"",(CC5/J5))</f>
        <v/>
      </c>
      <c r="CF5" s="24"/>
      <c r="CG5" s="24"/>
      <c r="CH5" s="24"/>
      <c r="CI5" s="29" t="str">
        <f t="shared" ref="CI5:CI18" si="13">IF(AND(CF5=0,CG5=0),"",(CF5/CG5))</f>
        <v/>
      </c>
      <c r="CJ5" s="24"/>
      <c r="CK5" s="24"/>
      <c r="CL5" s="24"/>
      <c r="CM5" s="29" t="str">
        <f t="shared" ref="CM5:CM18" si="14">IF(AND(CJ5=0,CK5=0),"",(CJ5/CK5))</f>
        <v/>
      </c>
      <c r="CN5" s="24"/>
      <c r="CO5" s="24"/>
      <c r="CP5" s="24"/>
      <c r="CQ5" s="29" t="str">
        <f t="shared" ref="CQ5:CQ18" si="15">IF(AND(CN5=0,CO5=0),"",(CN5/CO5))</f>
        <v/>
      </c>
      <c r="CR5" s="24"/>
      <c r="CS5" s="24"/>
      <c r="CT5" s="29" t="str">
        <f t="shared" ref="CT5:CT19" si="16">IF(AND(BZ5=0,CR5=0),"",(BZ5/CR5))</f>
        <v/>
      </c>
      <c r="CU5" s="24"/>
      <c r="CV5" s="24"/>
      <c r="CW5" s="24"/>
      <c r="CX5" s="29" t="str">
        <f t="shared" ref="CX5:CX18" si="17">IF(AND(CU5=0,CV5=0),"",(CU5/CV5))</f>
        <v/>
      </c>
      <c r="CY5" s="24"/>
      <c r="CZ5" s="24"/>
      <c r="DA5" s="24"/>
      <c r="DB5" s="29" t="str">
        <f t="shared" ref="DB5:DB18" si="18">IF(AND(CY5=0,CZ5=0),"",(CY5/CZ5))</f>
        <v/>
      </c>
      <c r="DC5" s="24"/>
      <c r="DD5" s="24"/>
      <c r="DE5" s="29" t="str">
        <f>IF(AND(DC5=0,CZ5=0),"",(DC5/CZ5))</f>
        <v/>
      </c>
      <c r="DF5" s="24"/>
      <c r="DG5" s="24"/>
      <c r="DH5" s="24"/>
      <c r="DI5" s="29" t="str">
        <f t="shared" ref="DI5:DI18" si="19">IF(AND(DF5=0,DG5=0),"",(DF5/DG5))</f>
        <v/>
      </c>
      <c r="DJ5" s="24">
        <v>13</v>
      </c>
      <c r="DK5" s="24">
        <v>4</v>
      </c>
      <c r="DL5" s="24">
        <v>1</v>
      </c>
      <c r="DM5" s="29">
        <f t="shared" si="2"/>
        <v>3.25</v>
      </c>
      <c r="DN5" s="24">
        <v>40</v>
      </c>
      <c r="DO5" s="24">
        <v>1</v>
      </c>
      <c r="DP5" s="24">
        <v>0</v>
      </c>
      <c r="DQ5" s="29">
        <f t="shared" ref="DQ5" si="20">IF(AND(DN5=0,DO5=0),"",(DN5/DO5))</f>
        <v>40</v>
      </c>
      <c r="DR5" s="24">
        <v>0</v>
      </c>
      <c r="DS5" s="24">
        <v>13</v>
      </c>
      <c r="DT5" s="24">
        <v>10</v>
      </c>
      <c r="DU5" s="63">
        <f t="shared" ref="DU5" si="21">IF(AND(DR5=0,DS5=0),"",(DR5/DS5))</f>
        <v>0</v>
      </c>
      <c r="DV5" s="24"/>
      <c r="DW5" s="24"/>
      <c r="DX5" s="24"/>
      <c r="DY5" s="29" t="str">
        <f t="shared" ref="DY5:DY43" si="22">IF(AND(DV5=0,DW5=0),"",(DV5/DW5))</f>
        <v/>
      </c>
      <c r="DZ5" s="24"/>
      <c r="EA5" s="24"/>
      <c r="EB5" s="24"/>
      <c r="EC5" s="29" t="str">
        <f t="shared" ref="EC5:EC43" si="23">IF(AND(DZ5=0,EA5=0),"",(DZ5/EA5))</f>
        <v/>
      </c>
      <c r="ED5" s="24"/>
      <c r="EE5" s="24"/>
      <c r="EF5" s="24"/>
      <c r="EG5" s="29" t="str">
        <f t="shared" ref="EG5:EG43" si="24">IF(AND(ED5=0,EE5=0),"",(ED5/EE5))</f>
        <v/>
      </c>
      <c r="EH5" s="24"/>
      <c r="EI5" s="24"/>
      <c r="EJ5" s="24"/>
      <c r="EK5" s="29" t="str">
        <f t="shared" ref="EK5:EK43" si="25">IF(AND(EH5=0,EI5=0),"",(EH5/EI5))</f>
        <v/>
      </c>
      <c r="EL5" s="24"/>
      <c r="EM5" s="24"/>
      <c r="EN5" s="24"/>
      <c r="EO5" s="29" t="str">
        <f t="shared" ref="EO5:EO43" si="26">IF(AND(EL5=0,EM5=0),"",(EL5/EM5))</f>
        <v/>
      </c>
      <c r="EP5" s="24"/>
      <c r="EQ5" s="24"/>
      <c r="ER5" s="24"/>
      <c r="ES5" s="29" t="str">
        <f t="shared" ref="ES5:ES43" si="27">IF(AND(EP5=0,EQ5=0),"",(EP5/EQ5))</f>
        <v/>
      </c>
      <c r="ET5" s="24"/>
      <c r="EU5" s="24"/>
      <c r="EV5" s="24"/>
      <c r="EW5" s="29" t="str">
        <f t="shared" ref="EW5:EW43" si="28">IF(AND(ET5=0,EU5=0),"",(ET5/EU5))</f>
        <v/>
      </c>
      <c r="EX5" s="24"/>
      <c r="EY5" s="24"/>
      <c r="EZ5" s="24"/>
      <c r="FA5" s="29" t="str">
        <f t="shared" ref="FA5:FA43" si="29">IF(AND(EX5=0,EY5=0),"",(EX5/EY5))</f>
        <v/>
      </c>
      <c r="FB5" s="24"/>
      <c r="FC5" s="24"/>
      <c r="FD5" s="24"/>
      <c r="FE5" s="29" t="str">
        <f t="shared" ref="FE5:FE43" si="30">IF(AND(FB5=0,FC5=0),"",(FB5/FC5))</f>
        <v/>
      </c>
      <c r="FF5" s="24"/>
      <c r="FG5" s="24"/>
      <c r="FH5" s="24"/>
      <c r="FI5" s="29" t="str">
        <f t="shared" ref="FI5:FI43" si="31">IF(AND(FF5=0,FG5=0),"",(FF5/FG5))</f>
        <v/>
      </c>
      <c r="FJ5" s="24"/>
      <c r="FK5" s="24"/>
      <c r="FL5" s="24"/>
      <c r="FM5" s="29" t="str">
        <f t="shared" ref="FM5:FM43" si="32">IF(AND(FJ5=0,FK5=0),"",(FJ5/FK5))</f>
        <v/>
      </c>
      <c r="FN5" s="24"/>
      <c r="FO5" s="24"/>
      <c r="FP5" s="24"/>
      <c r="FQ5" s="29" t="str">
        <f t="shared" ref="FQ5:FQ43" si="33">IF(AND(FN5=0,FO5=0),"",(FN5/FO5))</f>
        <v/>
      </c>
      <c r="FR5" s="24"/>
      <c r="FS5" s="24"/>
      <c r="FT5" s="24"/>
    </row>
    <row r="6" spans="1:176" ht="42" customHeight="1" x14ac:dyDescent="0.2">
      <c r="A6" s="30" t="str">
        <f t="shared" ref="A6:A43" si="34">(C6&amp;" "&amp;B6)</f>
        <v>51394102 VENKATA SWAROOP</v>
      </c>
      <c r="B6" s="23" t="s">
        <v>276</v>
      </c>
      <c r="C6" s="23">
        <v>51394102</v>
      </c>
      <c r="D6" s="23" t="s">
        <v>152</v>
      </c>
      <c r="E6" s="22"/>
      <c r="F6" s="22"/>
      <c r="G6" s="22"/>
      <c r="H6" s="29" t="str">
        <f t="shared" ref="H6:H8" si="35">IF(AND(E6=0,F6=0),"",(E6/F6))</f>
        <v/>
      </c>
      <c r="I6" s="22"/>
      <c r="J6" s="22"/>
      <c r="K6" s="22"/>
      <c r="L6" s="29" t="str">
        <f t="shared" ref="L6:L19" si="36">IF(AND(I6=0,J6=0),"",(I6/J6))</f>
        <v/>
      </c>
      <c r="M6" s="22"/>
      <c r="N6" s="22"/>
      <c r="O6" s="22"/>
      <c r="P6" s="29" t="str">
        <f t="shared" ref="P6:P19" si="37">IF(AND(M6=0,N6=0),"",(M6/N6))</f>
        <v/>
      </c>
      <c r="Q6" s="22"/>
      <c r="R6" s="32" t="str">
        <f t="shared" ref="R6:R19" si="38">IF(AND(M6=0,N6=0),"",(M6/N6))</f>
        <v/>
      </c>
      <c r="S6" s="24"/>
      <c r="T6" s="22"/>
      <c r="U6" s="32" t="str">
        <f t="shared" ref="U6:U19" si="39">IF(AND(N6=0, S6=0),"",(S6/N6))</f>
        <v/>
      </c>
      <c r="V6" s="22"/>
      <c r="W6" s="22"/>
      <c r="X6" s="22"/>
      <c r="Y6" s="32" t="str">
        <f t="shared" ref="Y6:Y19" si="40">IF(AND(V6=0, W6=0),"",(V6/W6)*100)</f>
        <v/>
      </c>
      <c r="Z6" s="22"/>
      <c r="AA6" s="22"/>
      <c r="AB6" s="22"/>
      <c r="AC6" s="29" t="str">
        <f t="shared" si="3"/>
        <v/>
      </c>
      <c r="AD6" s="22"/>
      <c r="AE6" s="22"/>
      <c r="AF6" s="22"/>
      <c r="AG6" s="29" t="str">
        <f t="shared" si="4"/>
        <v/>
      </c>
      <c r="AH6" s="22"/>
      <c r="AI6" s="22"/>
      <c r="AJ6" s="22"/>
      <c r="AK6" s="29" t="str">
        <f t="shared" si="5"/>
        <v/>
      </c>
      <c r="AL6" s="22"/>
      <c r="AM6" s="22"/>
      <c r="AN6" s="22"/>
      <c r="AO6" s="29" t="str">
        <f t="shared" si="6"/>
        <v/>
      </c>
      <c r="AP6" s="22"/>
      <c r="AQ6" s="22"/>
      <c r="AR6" s="22"/>
      <c r="AS6" s="29" t="str">
        <f t="shared" si="7"/>
        <v/>
      </c>
      <c r="AT6" s="22"/>
      <c r="AU6" s="22"/>
      <c r="AV6" s="22"/>
      <c r="AW6" s="29" t="str">
        <f t="shared" ref="AW6:AW19" si="41">IF(AND(AT6=0, AU6=0),"",(AT6/(AT6+AU6))*100)</f>
        <v/>
      </c>
      <c r="AX6" s="24"/>
      <c r="AY6" s="22"/>
      <c r="AZ6" s="22"/>
      <c r="BA6" s="29" t="str">
        <f t="shared" ref="BA6:BA19" si="42">IF(AND(AX6=0, AY6=0),"",(AX6/AY6)*100)</f>
        <v/>
      </c>
      <c r="BB6" s="22"/>
      <c r="BC6" s="22"/>
      <c r="BD6" s="22"/>
      <c r="BE6" s="29" t="str">
        <f t="shared" si="8"/>
        <v/>
      </c>
      <c r="BF6" s="22"/>
      <c r="BG6" s="22"/>
      <c r="BH6" s="22"/>
      <c r="BI6" s="29" t="str">
        <f t="shared" si="9"/>
        <v/>
      </c>
      <c r="BJ6" s="22"/>
      <c r="BK6" s="22"/>
      <c r="BL6" s="22"/>
      <c r="BM6" s="29" t="str">
        <f t="shared" ref="BM6:BM18" si="43">IF(AND(BJ6=0, BK6=0),"",(BJ6/BK6)*100)</f>
        <v/>
      </c>
      <c r="BN6" s="22"/>
      <c r="BO6" s="22"/>
      <c r="BP6" s="22"/>
      <c r="BQ6" s="29" t="str">
        <f t="shared" si="10"/>
        <v/>
      </c>
      <c r="BR6" s="22"/>
      <c r="BS6" s="22"/>
      <c r="BT6" s="22"/>
      <c r="BU6" s="29" t="str">
        <f t="shared" si="11"/>
        <v/>
      </c>
      <c r="BV6" s="22"/>
      <c r="BW6" s="22"/>
      <c r="BX6" s="22"/>
      <c r="BY6" s="29" t="str">
        <f t="shared" si="12"/>
        <v/>
      </c>
      <c r="BZ6" s="22"/>
      <c r="CA6" s="22"/>
      <c r="CB6" s="29" t="str">
        <f t="shared" ref="CB6:CB18" si="44">IF(AND(BZ6=0,F6=0),"",(BZ6/F6))</f>
        <v/>
      </c>
      <c r="CC6" s="22"/>
      <c r="CD6" s="22"/>
      <c r="CE6" s="29" t="str">
        <f t="shared" ref="CE6:CE18" si="45">IF(AND(CC6=0,J6=0),"",(CC6/J6))</f>
        <v/>
      </c>
      <c r="CF6" s="22"/>
      <c r="CG6" s="22"/>
      <c r="CH6" s="22"/>
      <c r="CI6" s="29" t="str">
        <f t="shared" si="13"/>
        <v/>
      </c>
      <c r="CJ6" s="22"/>
      <c r="CK6" s="22"/>
      <c r="CL6" s="22"/>
      <c r="CM6" s="29" t="str">
        <f t="shared" si="14"/>
        <v/>
      </c>
      <c r="CN6" s="22"/>
      <c r="CO6" s="22"/>
      <c r="CP6" s="22"/>
      <c r="CQ6" s="29" t="str">
        <f t="shared" si="15"/>
        <v/>
      </c>
      <c r="CR6" s="22"/>
      <c r="CS6" s="22"/>
      <c r="CT6" s="29" t="str">
        <f t="shared" si="16"/>
        <v/>
      </c>
      <c r="CU6" s="22"/>
      <c r="CV6" s="22"/>
      <c r="CW6" s="22"/>
      <c r="CX6" s="29" t="str">
        <f t="shared" si="17"/>
        <v/>
      </c>
      <c r="CY6" s="22"/>
      <c r="CZ6" s="22"/>
      <c r="DA6" s="22"/>
      <c r="DB6" s="29" t="str">
        <f t="shared" si="18"/>
        <v/>
      </c>
      <c r="DC6" s="22"/>
      <c r="DD6" s="22"/>
      <c r="DE6" s="29" t="str">
        <f t="shared" ref="DE6:DE19" si="46">IF(AND(DC6=0,CZ6=0),"",(DC6/CZ6))</f>
        <v/>
      </c>
      <c r="DF6" s="22"/>
      <c r="DG6" s="22"/>
      <c r="DH6" s="22"/>
      <c r="DI6" s="29" t="str">
        <f t="shared" si="19"/>
        <v/>
      </c>
      <c r="DJ6" s="24">
        <v>12</v>
      </c>
      <c r="DK6" s="24">
        <v>4</v>
      </c>
      <c r="DL6" s="24">
        <v>1</v>
      </c>
      <c r="DM6" s="29">
        <f t="shared" si="2"/>
        <v>3</v>
      </c>
      <c r="DN6" s="24">
        <v>40</v>
      </c>
      <c r="DO6" s="24">
        <v>1</v>
      </c>
      <c r="DP6" s="24">
        <v>0</v>
      </c>
      <c r="DQ6" s="29">
        <f t="shared" ref="DQ6:DQ8" si="47">IF(AND(DN6=0,DO6=0),"",(DN6/DO6))</f>
        <v>40</v>
      </c>
      <c r="DR6" s="24">
        <v>0</v>
      </c>
      <c r="DS6" s="24">
        <v>13</v>
      </c>
      <c r="DT6" s="24">
        <v>10</v>
      </c>
      <c r="DU6" s="63">
        <f t="shared" ref="DU6:DU8" si="48">IF(AND(DR6=0,DS6=0),"",(DR6/DS6))</f>
        <v>0</v>
      </c>
      <c r="DV6" s="22"/>
      <c r="DW6" s="22"/>
      <c r="DX6" s="22"/>
      <c r="DY6" s="29" t="str">
        <f t="shared" si="22"/>
        <v/>
      </c>
      <c r="DZ6" s="22"/>
      <c r="EA6" s="22"/>
      <c r="EB6" s="22"/>
      <c r="EC6" s="29" t="str">
        <f t="shared" si="23"/>
        <v/>
      </c>
      <c r="ED6" s="22"/>
      <c r="EE6" s="22"/>
      <c r="EF6" s="22"/>
      <c r="EG6" s="29" t="str">
        <f t="shared" si="24"/>
        <v/>
      </c>
      <c r="EH6" s="22"/>
      <c r="EI6" s="22"/>
      <c r="EJ6" s="22"/>
      <c r="EK6" s="29" t="str">
        <f t="shared" si="25"/>
        <v/>
      </c>
      <c r="EL6" s="22"/>
      <c r="EM6" s="22"/>
      <c r="EN6" s="22"/>
      <c r="EO6" s="29" t="str">
        <f t="shared" si="26"/>
        <v/>
      </c>
      <c r="EP6" s="22"/>
      <c r="EQ6" s="22"/>
      <c r="ER6" s="22"/>
      <c r="ES6" s="29" t="str">
        <f t="shared" si="27"/>
        <v/>
      </c>
      <c r="ET6" s="22"/>
      <c r="EU6" s="22"/>
      <c r="EV6" s="22"/>
      <c r="EW6" s="29" t="str">
        <f t="shared" si="28"/>
        <v/>
      </c>
      <c r="EX6" s="22"/>
      <c r="EY6" s="22"/>
      <c r="EZ6" s="22"/>
      <c r="FA6" s="29" t="str">
        <f t="shared" si="29"/>
        <v/>
      </c>
      <c r="FB6" s="22"/>
      <c r="FC6" s="22"/>
      <c r="FD6" s="22"/>
      <c r="FE6" s="29" t="str">
        <f t="shared" si="30"/>
        <v/>
      </c>
      <c r="FF6" s="22"/>
      <c r="FG6" s="22"/>
      <c r="FH6" s="22"/>
      <c r="FI6" s="29" t="str">
        <f t="shared" si="31"/>
        <v/>
      </c>
      <c r="FJ6" s="22"/>
      <c r="FK6" s="22"/>
      <c r="FL6" s="22"/>
      <c r="FM6" s="29" t="str">
        <f t="shared" si="32"/>
        <v/>
      </c>
      <c r="FN6" s="22"/>
      <c r="FO6" s="22"/>
      <c r="FP6" s="22"/>
      <c r="FQ6" s="29" t="str">
        <f t="shared" si="33"/>
        <v/>
      </c>
      <c r="FR6" s="22"/>
      <c r="FS6" s="22"/>
      <c r="FT6" s="22"/>
    </row>
    <row r="7" spans="1:176" ht="43.5" customHeight="1" x14ac:dyDescent="0.2">
      <c r="A7" s="30" t="str">
        <f t="shared" si="34"/>
        <v>51503090 PALANIVEL JAGANATHAN</v>
      </c>
      <c r="B7" s="23" t="s">
        <v>277</v>
      </c>
      <c r="C7" s="23">
        <v>51503090</v>
      </c>
      <c r="D7" s="23" t="s">
        <v>152</v>
      </c>
      <c r="E7" s="22"/>
      <c r="F7" s="22"/>
      <c r="G7" s="22"/>
      <c r="H7" s="29" t="str">
        <f t="shared" si="35"/>
        <v/>
      </c>
      <c r="I7" s="22"/>
      <c r="J7" s="22"/>
      <c r="K7" s="22"/>
      <c r="L7" s="29" t="str">
        <f t="shared" si="36"/>
        <v/>
      </c>
      <c r="M7" s="22"/>
      <c r="N7" s="22"/>
      <c r="O7" s="22"/>
      <c r="P7" s="29" t="str">
        <f t="shared" si="37"/>
        <v/>
      </c>
      <c r="Q7" s="22"/>
      <c r="R7" s="32" t="str">
        <f t="shared" si="38"/>
        <v/>
      </c>
      <c r="S7" s="24"/>
      <c r="T7" s="22"/>
      <c r="U7" s="32" t="str">
        <f t="shared" si="39"/>
        <v/>
      </c>
      <c r="V7" s="22"/>
      <c r="W7" s="22"/>
      <c r="X7" s="22"/>
      <c r="Y7" s="32" t="str">
        <f t="shared" si="40"/>
        <v/>
      </c>
      <c r="Z7" s="22"/>
      <c r="AA7" s="22"/>
      <c r="AB7" s="22"/>
      <c r="AC7" s="29" t="str">
        <f t="shared" si="3"/>
        <v/>
      </c>
      <c r="AD7" s="22"/>
      <c r="AE7" s="22"/>
      <c r="AF7" s="22"/>
      <c r="AG7" s="29" t="str">
        <f t="shared" si="4"/>
        <v/>
      </c>
      <c r="AH7" s="22"/>
      <c r="AI7" s="22"/>
      <c r="AJ7" s="22"/>
      <c r="AK7" s="29" t="str">
        <f t="shared" si="5"/>
        <v/>
      </c>
      <c r="AL7" s="22"/>
      <c r="AM7" s="22"/>
      <c r="AN7" s="22"/>
      <c r="AO7" s="29" t="str">
        <f t="shared" si="6"/>
        <v/>
      </c>
      <c r="AP7" s="22"/>
      <c r="AQ7" s="22"/>
      <c r="AR7" s="22"/>
      <c r="AS7" s="29" t="str">
        <f t="shared" si="7"/>
        <v/>
      </c>
      <c r="AT7" s="22"/>
      <c r="AU7" s="22"/>
      <c r="AV7" s="22"/>
      <c r="AW7" s="29" t="str">
        <f t="shared" si="41"/>
        <v/>
      </c>
      <c r="AX7" s="24"/>
      <c r="AY7" s="22"/>
      <c r="AZ7" s="22"/>
      <c r="BA7" s="29" t="str">
        <f t="shared" si="42"/>
        <v/>
      </c>
      <c r="BB7" s="22"/>
      <c r="BC7" s="22"/>
      <c r="BD7" s="22"/>
      <c r="BE7" s="29" t="str">
        <f t="shared" si="8"/>
        <v/>
      </c>
      <c r="BF7" s="22"/>
      <c r="BG7" s="22"/>
      <c r="BH7" s="22"/>
      <c r="BI7" s="29" t="str">
        <f t="shared" si="9"/>
        <v/>
      </c>
      <c r="BJ7" s="22"/>
      <c r="BK7" s="22"/>
      <c r="BL7" s="22"/>
      <c r="BM7" s="29" t="str">
        <f t="shared" si="43"/>
        <v/>
      </c>
      <c r="BN7" s="22"/>
      <c r="BO7" s="22"/>
      <c r="BP7" s="22"/>
      <c r="BQ7" s="29" t="str">
        <f t="shared" si="10"/>
        <v/>
      </c>
      <c r="BR7" s="22"/>
      <c r="BS7" s="22"/>
      <c r="BT7" s="22"/>
      <c r="BU7" s="29" t="str">
        <f t="shared" si="11"/>
        <v/>
      </c>
      <c r="BV7" s="22"/>
      <c r="BW7" s="22"/>
      <c r="BX7" s="22"/>
      <c r="BY7" s="29" t="str">
        <f t="shared" si="12"/>
        <v/>
      </c>
      <c r="BZ7" s="22"/>
      <c r="CA7" s="22"/>
      <c r="CB7" s="29" t="str">
        <f t="shared" si="44"/>
        <v/>
      </c>
      <c r="CC7" s="22"/>
      <c r="CD7" s="22"/>
      <c r="CE7" s="29" t="str">
        <f t="shared" si="45"/>
        <v/>
      </c>
      <c r="CF7" s="22"/>
      <c r="CG7" s="22"/>
      <c r="CH7" s="22"/>
      <c r="CI7" s="29" t="str">
        <f t="shared" si="13"/>
        <v/>
      </c>
      <c r="CJ7" s="22"/>
      <c r="CK7" s="22"/>
      <c r="CL7" s="22"/>
      <c r="CM7" s="29" t="str">
        <f t="shared" si="14"/>
        <v/>
      </c>
      <c r="CN7" s="22"/>
      <c r="CO7" s="22"/>
      <c r="CP7" s="22"/>
      <c r="CQ7" s="29" t="str">
        <f t="shared" si="15"/>
        <v/>
      </c>
      <c r="CR7" s="22"/>
      <c r="CS7" s="22"/>
      <c r="CT7" s="29" t="str">
        <f t="shared" si="16"/>
        <v/>
      </c>
      <c r="CU7" s="22"/>
      <c r="CV7" s="22"/>
      <c r="CW7" s="22"/>
      <c r="CX7" s="29" t="str">
        <f t="shared" si="17"/>
        <v/>
      </c>
      <c r="CY7" s="22"/>
      <c r="CZ7" s="22"/>
      <c r="DA7" s="22"/>
      <c r="DB7" s="29" t="str">
        <f t="shared" si="18"/>
        <v/>
      </c>
      <c r="DC7" s="22"/>
      <c r="DD7" s="22"/>
      <c r="DE7" s="29" t="str">
        <f t="shared" si="46"/>
        <v/>
      </c>
      <c r="DF7" s="22"/>
      <c r="DG7" s="22"/>
      <c r="DH7" s="22"/>
      <c r="DI7" s="29" t="str">
        <f t="shared" si="19"/>
        <v/>
      </c>
      <c r="DJ7" s="24">
        <v>21</v>
      </c>
      <c r="DK7" s="24">
        <v>4</v>
      </c>
      <c r="DL7" s="24">
        <v>1</v>
      </c>
      <c r="DM7" s="29">
        <f t="shared" si="2"/>
        <v>5.25</v>
      </c>
      <c r="DN7" s="24">
        <v>40</v>
      </c>
      <c r="DO7" s="24">
        <v>1</v>
      </c>
      <c r="DP7" s="24">
        <v>0</v>
      </c>
      <c r="DQ7" s="29">
        <f t="shared" si="47"/>
        <v>40</v>
      </c>
      <c r="DR7" s="24">
        <v>0</v>
      </c>
      <c r="DS7" s="24">
        <v>13</v>
      </c>
      <c r="DT7" s="24">
        <v>10</v>
      </c>
      <c r="DU7" s="63">
        <f t="shared" si="48"/>
        <v>0</v>
      </c>
      <c r="DV7" s="22"/>
      <c r="DW7" s="22"/>
      <c r="DX7" s="22"/>
      <c r="DY7" s="29" t="str">
        <f t="shared" si="22"/>
        <v/>
      </c>
      <c r="DZ7" s="22"/>
      <c r="EA7" s="22"/>
      <c r="EB7" s="22"/>
      <c r="EC7" s="29" t="str">
        <f t="shared" si="23"/>
        <v/>
      </c>
      <c r="ED7" s="22"/>
      <c r="EE7" s="22"/>
      <c r="EF7" s="22"/>
      <c r="EG7" s="29" t="str">
        <f t="shared" si="24"/>
        <v/>
      </c>
      <c r="EH7" s="22"/>
      <c r="EI7" s="22"/>
      <c r="EJ7" s="22"/>
      <c r="EK7" s="29" t="str">
        <f t="shared" si="25"/>
        <v/>
      </c>
      <c r="EL7" s="22"/>
      <c r="EM7" s="22"/>
      <c r="EN7" s="22"/>
      <c r="EO7" s="29" t="str">
        <f t="shared" si="26"/>
        <v/>
      </c>
      <c r="EP7" s="22"/>
      <c r="EQ7" s="22"/>
      <c r="ER7" s="22"/>
      <c r="ES7" s="29" t="str">
        <f t="shared" si="27"/>
        <v/>
      </c>
      <c r="ET7" s="22"/>
      <c r="EU7" s="22"/>
      <c r="EV7" s="22"/>
      <c r="EW7" s="29" t="str">
        <f t="shared" si="28"/>
        <v/>
      </c>
      <c r="EX7" s="22"/>
      <c r="EY7" s="22"/>
      <c r="EZ7" s="22"/>
      <c r="FA7" s="29" t="str">
        <f t="shared" si="29"/>
        <v/>
      </c>
      <c r="FB7" s="22"/>
      <c r="FC7" s="22"/>
      <c r="FD7" s="22"/>
      <c r="FE7" s="29" t="str">
        <f t="shared" si="30"/>
        <v/>
      </c>
      <c r="FF7" s="22"/>
      <c r="FG7" s="22"/>
      <c r="FH7" s="22"/>
      <c r="FI7" s="29" t="str">
        <f t="shared" si="31"/>
        <v/>
      </c>
      <c r="FJ7" s="22"/>
      <c r="FK7" s="22"/>
      <c r="FL7" s="22"/>
      <c r="FM7" s="29" t="str">
        <f t="shared" si="32"/>
        <v/>
      </c>
      <c r="FN7" s="22"/>
      <c r="FO7" s="22"/>
      <c r="FP7" s="22"/>
      <c r="FQ7" s="29" t="str">
        <f t="shared" si="33"/>
        <v/>
      </c>
      <c r="FR7" s="22"/>
      <c r="FS7" s="22"/>
      <c r="FT7" s="22"/>
    </row>
    <row r="8" spans="1:176" ht="45" customHeight="1" x14ac:dyDescent="0.2">
      <c r="A8" s="30" t="str">
        <f t="shared" si="34"/>
        <v>51610073 HariPrasad Mada</v>
      </c>
      <c r="B8" s="23" t="s">
        <v>278</v>
      </c>
      <c r="C8" s="23">
        <v>51610073</v>
      </c>
      <c r="D8" s="23" t="s">
        <v>152</v>
      </c>
      <c r="E8" s="22"/>
      <c r="F8" s="22"/>
      <c r="G8" s="22"/>
      <c r="H8" s="29" t="str">
        <f t="shared" si="35"/>
        <v/>
      </c>
      <c r="I8" s="22"/>
      <c r="J8" s="22"/>
      <c r="K8" s="22"/>
      <c r="L8" s="29" t="str">
        <f t="shared" si="36"/>
        <v/>
      </c>
      <c r="M8" s="22"/>
      <c r="N8" s="22"/>
      <c r="O8" s="22"/>
      <c r="P8" s="29" t="str">
        <f t="shared" si="37"/>
        <v/>
      </c>
      <c r="Q8" s="22"/>
      <c r="R8" s="32" t="str">
        <f t="shared" si="38"/>
        <v/>
      </c>
      <c r="S8" s="24"/>
      <c r="T8" s="22"/>
      <c r="U8" s="32" t="str">
        <f t="shared" si="39"/>
        <v/>
      </c>
      <c r="V8" s="22"/>
      <c r="W8" s="22"/>
      <c r="X8" s="22"/>
      <c r="Y8" s="32" t="str">
        <f t="shared" si="40"/>
        <v/>
      </c>
      <c r="Z8" s="22"/>
      <c r="AA8" s="22"/>
      <c r="AB8" s="22"/>
      <c r="AC8" s="29" t="str">
        <f t="shared" si="3"/>
        <v/>
      </c>
      <c r="AD8" s="22"/>
      <c r="AE8" s="22"/>
      <c r="AF8" s="22"/>
      <c r="AG8" s="29" t="str">
        <f t="shared" si="4"/>
        <v/>
      </c>
      <c r="AH8" s="22"/>
      <c r="AI8" s="22"/>
      <c r="AJ8" s="22"/>
      <c r="AK8" s="29" t="str">
        <f t="shared" si="5"/>
        <v/>
      </c>
      <c r="AL8" s="22"/>
      <c r="AM8" s="22"/>
      <c r="AN8" s="22"/>
      <c r="AO8" s="29" t="str">
        <f t="shared" si="6"/>
        <v/>
      </c>
      <c r="AP8" s="22"/>
      <c r="AQ8" s="22"/>
      <c r="AR8" s="22"/>
      <c r="AS8" s="29" t="str">
        <f t="shared" si="7"/>
        <v/>
      </c>
      <c r="AT8" s="22"/>
      <c r="AU8" s="22"/>
      <c r="AV8" s="22"/>
      <c r="AW8" s="29" t="str">
        <f t="shared" si="41"/>
        <v/>
      </c>
      <c r="AX8" s="24"/>
      <c r="AY8" s="22"/>
      <c r="AZ8" s="22"/>
      <c r="BA8" s="29" t="str">
        <f t="shared" si="42"/>
        <v/>
      </c>
      <c r="BB8" s="22"/>
      <c r="BC8" s="22"/>
      <c r="BD8" s="22"/>
      <c r="BE8" s="29" t="str">
        <f t="shared" si="8"/>
        <v/>
      </c>
      <c r="BF8" s="22"/>
      <c r="BG8" s="22"/>
      <c r="BH8" s="22"/>
      <c r="BI8" s="29" t="str">
        <f t="shared" si="9"/>
        <v/>
      </c>
      <c r="BJ8" s="22"/>
      <c r="BK8" s="22"/>
      <c r="BL8" s="22"/>
      <c r="BM8" s="29" t="str">
        <f t="shared" si="43"/>
        <v/>
      </c>
      <c r="BN8" s="22"/>
      <c r="BO8" s="22"/>
      <c r="BP8" s="22"/>
      <c r="BQ8" s="29" t="str">
        <f t="shared" si="10"/>
        <v/>
      </c>
      <c r="BR8" s="22"/>
      <c r="BS8" s="22"/>
      <c r="BT8" s="22"/>
      <c r="BU8" s="29" t="str">
        <f t="shared" si="11"/>
        <v/>
      </c>
      <c r="BV8" s="22"/>
      <c r="BW8" s="22"/>
      <c r="BX8" s="22"/>
      <c r="BY8" s="29" t="str">
        <f t="shared" si="12"/>
        <v/>
      </c>
      <c r="BZ8" s="22"/>
      <c r="CA8" s="22"/>
      <c r="CB8" s="29" t="str">
        <f t="shared" si="44"/>
        <v/>
      </c>
      <c r="CC8" s="22"/>
      <c r="CD8" s="22"/>
      <c r="CE8" s="29" t="str">
        <f t="shared" si="45"/>
        <v/>
      </c>
      <c r="CF8" s="22"/>
      <c r="CG8" s="22"/>
      <c r="CH8" s="22"/>
      <c r="CI8" s="29" t="str">
        <f t="shared" si="13"/>
        <v/>
      </c>
      <c r="CJ8" s="22"/>
      <c r="CK8" s="22"/>
      <c r="CL8" s="22"/>
      <c r="CM8" s="29" t="str">
        <f t="shared" si="14"/>
        <v/>
      </c>
      <c r="CN8" s="22"/>
      <c r="CO8" s="22"/>
      <c r="CP8" s="22"/>
      <c r="CQ8" s="29" t="str">
        <f t="shared" si="15"/>
        <v/>
      </c>
      <c r="CR8" s="22"/>
      <c r="CS8" s="22"/>
      <c r="CT8" s="29" t="str">
        <f t="shared" si="16"/>
        <v/>
      </c>
      <c r="CU8" s="22"/>
      <c r="CV8" s="22"/>
      <c r="CW8" s="22"/>
      <c r="CX8" s="29" t="str">
        <f t="shared" si="17"/>
        <v/>
      </c>
      <c r="CY8" s="22"/>
      <c r="CZ8" s="22"/>
      <c r="DA8" s="22"/>
      <c r="DB8" s="29" t="str">
        <f t="shared" si="18"/>
        <v/>
      </c>
      <c r="DC8" s="22"/>
      <c r="DD8" s="22"/>
      <c r="DE8" s="29" t="str">
        <f t="shared" si="46"/>
        <v/>
      </c>
      <c r="DF8" s="22"/>
      <c r="DG8" s="22"/>
      <c r="DH8" s="22"/>
      <c r="DI8" s="29" t="str">
        <f t="shared" si="19"/>
        <v/>
      </c>
      <c r="DJ8" s="24">
        <v>54</v>
      </c>
      <c r="DK8" s="24">
        <v>4</v>
      </c>
      <c r="DL8" s="24">
        <v>1</v>
      </c>
      <c r="DM8" s="29">
        <f t="shared" si="2"/>
        <v>13.5</v>
      </c>
      <c r="DN8" s="24">
        <v>40</v>
      </c>
      <c r="DO8" s="24">
        <v>1</v>
      </c>
      <c r="DP8" s="24">
        <v>0</v>
      </c>
      <c r="DQ8" s="29">
        <f t="shared" si="47"/>
        <v>40</v>
      </c>
      <c r="DR8" s="24">
        <v>0</v>
      </c>
      <c r="DS8" s="24">
        <v>13</v>
      </c>
      <c r="DT8" s="24">
        <v>10</v>
      </c>
      <c r="DU8" s="63">
        <f t="shared" si="48"/>
        <v>0</v>
      </c>
      <c r="DV8" s="22"/>
      <c r="DW8" s="22"/>
      <c r="DX8" s="22"/>
      <c r="DY8" s="29" t="str">
        <f t="shared" si="22"/>
        <v/>
      </c>
      <c r="DZ8" s="22"/>
      <c r="EA8" s="22"/>
      <c r="EB8" s="22"/>
      <c r="EC8" s="29" t="str">
        <f t="shared" si="23"/>
        <v/>
      </c>
      <c r="ED8" s="22"/>
      <c r="EE8" s="22"/>
      <c r="EF8" s="22"/>
      <c r="EG8" s="29" t="str">
        <f t="shared" si="24"/>
        <v/>
      </c>
      <c r="EH8" s="22"/>
      <c r="EI8" s="22"/>
      <c r="EJ8" s="22"/>
      <c r="EK8" s="29" t="str">
        <f t="shared" si="25"/>
        <v/>
      </c>
      <c r="EL8" s="22"/>
      <c r="EM8" s="22"/>
      <c r="EN8" s="22"/>
      <c r="EO8" s="29" t="str">
        <f t="shared" si="26"/>
        <v/>
      </c>
      <c r="EP8" s="22"/>
      <c r="EQ8" s="22"/>
      <c r="ER8" s="22"/>
      <c r="ES8" s="29" t="str">
        <f t="shared" si="27"/>
        <v/>
      </c>
      <c r="ET8" s="22"/>
      <c r="EU8" s="22"/>
      <c r="EV8" s="22"/>
      <c r="EW8" s="29" t="str">
        <f t="shared" si="28"/>
        <v/>
      </c>
      <c r="EX8" s="22"/>
      <c r="EY8" s="22"/>
      <c r="EZ8" s="22"/>
      <c r="FA8" s="29" t="str">
        <f t="shared" si="29"/>
        <v/>
      </c>
      <c r="FB8" s="22"/>
      <c r="FC8" s="22"/>
      <c r="FD8" s="22"/>
      <c r="FE8" s="29" t="str">
        <f t="shared" si="30"/>
        <v/>
      </c>
      <c r="FF8" s="22"/>
      <c r="FG8" s="22"/>
      <c r="FH8" s="22"/>
      <c r="FI8" s="29" t="str">
        <f t="shared" si="31"/>
        <v/>
      </c>
      <c r="FJ8" s="22"/>
      <c r="FK8" s="22"/>
      <c r="FL8" s="22"/>
      <c r="FM8" s="29" t="str">
        <f t="shared" si="32"/>
        <v/>
      </c>
      <c r="FN8" s="22"/>
      <c r="FO8" s="22"/>
      <c r="FP8" s="22"/>
      <c r="FQ8" s="29" t="str">
        <f t="shared" si="33"/>
        <v/>
      </c>
      <c r="FR8" s="22"/>
      <c r="FS8" s="22"/>
      <c r="FT8" s="22"/>
    </row>
    <row r="9" spans="1:176" ht="114.75" x14ac:dyDescent="0.2">
      <c r="A9" s="30" t="str">
        <f t="shared" si="34"/>
        <v>51739190 Rony Joseph</v>
      </c>
      <c r="B9" s="23" t="s">
        <v>281</v>
      </c>
      <c r="C9" s="23">
        <v>51739190</v>
      </c>
      <c r="D9" s="23"/>
      <c r="E9" s="22"/>
      <c r="F9" s="22"/>
      <c r="G9" s="22"/>
      <c r="H9" s="29" t="str">
        <f t="shared" ref="H9:H19" si="49">IF(AND(E9=0,F9=0),"",(E9/F9))</f>
        <v/>
      </c>
      <c r="I9" s="22"/>
      <c r="J9" s="22"/>
      <c r="K9" s="22"/>
      <c r="L9" s="29" t="str">
        <f t="shared" si="36"/>
        <v/>
      </c>
      <c r="M9" s="22"/>
      <c r="N9" s="22"/>
      <c r="O9" s="22"/>
      <c r="P9" s="29" t="str">
        <f t="shared" si="37"/>
        <v/>
      </c>
      <c r="Q9" s="22"/>
      <c r="R9" s="32" t="str">
        <f t="shared" si="38"/>
        <v/>
      </c>
      <c r="S9" s="24"/>
      <c r="T9" s="22"/>
      <c r="U9" s="32" t="str">
        <f t="shared" si="39"/>
        <v/>
      </c>
      <c r="V9" s="22"/>
      <c r="W9" s="22"/>
      <c r="X9" s="22"/>
      <c r="Y9" s="32" t="str">
        <f t="shared" si="40"/>
        <v/>
      </c>
      <c r="Z9" s="22"/>
      <c r="AA9" s="22"/>
      <c r="AB9" s="22"/>
      <c r="AC9" s="29" t="str">
        <f t="shared" si="3"/>
        <v/>
      </c>
      <c r="AD9" s="22"/>
      <c r="AE9" s="22"/>
      <c r="AF9" s="22"/>
      <c r="AG9" s="29" t="str">
        <f t="shared" si="4"/>
        <v/>
      </c>
      <c r="AH9" s="22"/>
      <c r="AI9" s="22"/>
      <c r="AJ9" s="22"/>
      <c r="AK9" s="29" t="str">
        <f t="shared" si="5"/>
        <v/>
      </c>
      <c r="AL9" s="22"/>
      <c r="AM9" s="22"/>
      <c r="AN9" s="22"/>
      <c r="AO9" s="29" t="str">
        <f t="shared" si="6"/>
        <v/>
      </c>
      <c r="AP9" s="22"/>
      <c r="AQ9" s="22"/>
      <c r="AR9" s="22"/>
      <c r="AS9" s="29" t="str">
        <f t="shared" si="7"/>
        <v/>
      </c>
      <c r="AT9" s="22"/>
      <c r="AU9" s="22"/>
      <c r="AV9" s="22"/>
      <c r="AW9" s="29" t="str">
        <f t="shared" si="41"/>
        <v/>
      </c>
      <c r="AX9" s="24"/>
      <c r="AY9" s="22"/>
      <c r="AZ9" s="22"/>
      <c r="BA9" s="29" t="str">
        <f t="shared" si="42"/>
        <v/>
      </c>
      <c r="BB9" s="22"/>
      <c r="BC9" s="22"/>
      <c r="BD9" s="22"/>
      <c r="BE9" s="29" t="str">
        <f t="shared" si="8"/>
        <v/>
      </c>
      <c r="BF9" s="22"/>
      <c r="BG9" s="22"/>
      <c r="BH9" s="22"/>
      <c r="BI9" s="29" t="str">
        <f t="shared" si="9"/>
        <v/>
      </c>
      <c r="BJ9" s="22"/>
      <c r="BK9" s="22"/>
      <c r="BL9" s="22"/>
      <c r="BM9" s="29" t="str">
        <f t="shared" si="43"/>
        <v/>
      </c>
      <c r="BN9" s="22"/>
      <c r="BO9" s="22"/>
      <c r="BP9" s="22"/>
      <c r="BQ9" s="29" t="str">
        <f t="shared" si="10"/>
        <v/>
      </c>
      <c r="BR9" s="22"/>
      <c r="BS9" s="22"/>
      <c r="BT9" s="22"/>
      <c r="BU9" s="29" t="str">
        <f t="shared" si="11"/>
        <v/>
      </c>
      <c r="BV9" s="22"/>
      <c r="BW9" s="22"/>
      <c r="BX9" s="22"/>
      <c r="BY9" s="29" t="str">
        <f t="shared" si="12"/>
        <v/>
      </c>
      <c r="BZ9" s="22"/>
      <c r="CA9" s="22"/>
      <c r="CB9" s="29" t="str">
        <f t="shared" si="44"/>
        <v/>
      </c>
      <c r="CC9" s="22"/>
      <c r="CD9" s="22"/>
      <c r="CE9" s="29" t="str">
        <f t="shared" si="45"/>
        <v/>
      </c>
      <c r="CF9" s="22"/>
      <c r="CG9" s="22"/>
      <c r="CH9" s="22"/>
      <c r="CI9" s="29" t="str">
        <f t="shared" si="13"/>
        <v/>
      </c>
      <c r="CJ9" s="22"/>
      <c r="CK9" s="22"/>
      <c r="CL9" s="22"/>
      <c r="CM9" s="29" t="str">
        <f t="shared" si="14"/>
        <v/>
      </c>
      <c r="CN9" s="22"/>
      <c r="CO9" s="22"/>
      <c r="CP9" s="22"/>
      <c r="CQ9" s="29" t="str">
        <f t="shared" si="15"/>
        <v/>
      </c>
      <c r="CR9" s="22"/>
      <c r="CS9" s="22"/>
      <c r="CT9" s="29" t="str">
        <f t="shared" si="16"/>
        <v/>
      </c>
      <c r="CU9" s="22"/>
      <c r="CV9" s="22"/>
      <c r="CW9" s="22"/>
      <c r="CX9" s="29" t="str">
        <f t="shared" si="17"/>
        <v/>
      </c>
      <c r="CY9" s="22"/>
      <c r="CZ9" s="22"/>
      <c r="DA9" s="22"/>
      <c r="DB9" s="29" t="str">
        <f t="shared" si="18"/>
        <v/>
      </c>
      <c r="DC9" s="22"/>
      <c r="DD9" s="22"/>
      <c r="DE9" s="29" t="str">
        <f t="shared" si="46"/>
        <v/>
      </c>
      <c r="DF9" s="22"/>
      <c r="DG9" s="22"/>
      <c r="DH9" s="22"/>
      <c r="DI9" s="29" t="str">
        <f t="shared" si="19"/>
        <v/>
      </c>
      <c r="DJ9" s="22"/>
      <c r="DK9" s="22"/>
      <c r="DL9" s="22"/>
      <c r="DM9" s="29" t="str">
        <f t="shared" ref="DM9:DM43" si="50">IF(AND(DJ9=0,DK9=0),"",(DJ9/DK9))</f>
        <v/>
      </c>
      <c r="DN9" s="22"/>
      <c r="DO9" s="22"/>
      <c r="DP9" s="22"/>
      <c r="DQ9" s="29" t="str">
        <f t="shared" ref="DQ9:DQ43" si="51">IF(AND(DN9=0,DO9=0),"",(DN9/DO9))</f>
        <v/>
      </c>
      <c r="DR9" s="22"/>
      <c r="DS9" s="22"/>
      <c r="DT9" s="22"/>
      <c r="DU9" s="29" t="str">
        <f t="shared" ref="DU9:DU43" si="52">IF(AND(DR9=0,DS9=0),"",(DR9/DS9))</f>
        <v/>
      </c>
      <c r="DV9" s="22"/>
      <c r="DW9" s="22"/>
      <c r="DX9" s="22"/>
      <c r="DY9" s="29" t="str">
        <f t="shared" si="22"/>
        <v/>
      </c>
      <c r="DZ9" s="22"/>
      <c r="EA9" s="22"/>
      <c r="EB9" s="22"/>
      <c r="EC9" s="29" t="str">
        <f t="shared" si="23"/>
        <v/>
      </c>
      <c r="ED9" s="22"/>
      <c r="EE9" s="22"/>
      <c r="EF9" s="22"/>
      <c r="EG9" s="29" t="str">
        <f t="shared" si="24"/>
        <v/>
      </c>
      <c r="EH9" s="22"/>
      <c r="EI9" s="22"/>
      <c r="EJ9" s="22"/>
      <c r="EK9" s="29" t="str">
        <f t="shared" si="25"/>
        <v/>
      </c>
      <c r="EL9" s="22"/>
      <c r="EM9" s="22"/>
      <c r="EN9" s="22"/>
      <c r="EO9" s="29" t="str">
        <f t="shared" si="26"/>
        <v/>
      </c>
      <c r="EP9" s="22"/>
      <c r="EQ9" s="22"/>
      <c r="ER9" s="22"/>
      <c r="ES9" s="29" t="str">
        <f t="shared" si="27"/>
        <v/>
      </c>
      <c r="ET9" s="22"/>
      <c r="EU9" s="22"/>
      <c r="EV9" s="22"/>
      <c r="EW9" s="29" t="str">
        <f t="shared" si="28"/>
        <v/>
      </c>
      <c r="EX9" s="22"/>
      <c r="EY9" s="22"/>
      <c r="EZ9" s="22"/>
      <c r="FA9" s="29" t="str">
        <f t="shared" si="29"/>
        <v/>
      </c>
      <c r="FB9" s="22"/>
      <c r="FC9" s="22"/>
      <c r="FD9" s="22"/>
      <c r="FE9" s="29" t="str">
        <f t="shared" si="30"/>
        <v/>
      </c>
      <c r="FF9" s="22"/>
      <c r="FG9" s="22"/>
      <c r="FH9" s="22"/>
      <c r="FI9" s="29" t="str">
        <f t="shared" si="31"/>
        <v/>
      </c>
      <c r="FJ9" s="22"/>
      <c r="FK9" s="22"/>
      <c r="FL9" s="22"/>
      <c r="FM9" s="29" t="str">
        <f t="shared" si="32"/>
        <v/>
      </c>
      <c r="FN9" s="22"/>
      <c r="FO9" s="22"/>
      <c r="FP9" s="22"/>
      <c r="FQ9" s="29" t="str">
        <f t="shared" si="33"/>
        <v/>
      </c>
      <c r="FR9" s="22"/>
      <c r="FS9" s="22"/>
      <c r="FT9" s="22"/>
    </row>
    <row r="10" spans="1:176" ht="140.25" x14ac:dyDescent="0.2">
      <c r="A10" s="30" t="str">
        <f t="shared" si="34"/>
        <v>51742209 Suryansh Gupta</v>
      </c>
      <c r="B10" s="23" t="s">
        <v>282</v>
      </c>
      <c r="C10" s="23">
        <v>51742209</v>
      </c>
      <c r="D10" s="23"/>
      <c r="E10" s="22"/>
      <c r="F10" s="22"/>
      <c r="G10" s="22"/>
      <c r="H10" s="29" t="str">
        <f t="shared" si="49"/>
        <v/>
      </c>
      <c r="I10" s="22"/>
      <c r="J10" s="22"/>
      <c r="K10" s="22"/>
      <c r="L10" s="29" t="str">
        <f t="shared" si="36"/>
        <v/>
      </c>
      <c r="M10" s="22"/>
      <c r="N10" s="22"/>
      <c r="O10" s="22"/>
      <c r="P10" s="29" t="str">
        <f t="shared" si="37"/>
        <v/>
      </c>
      <c r="Q10" s="22"/>
      <c r="R10" s="32" t="str">
        <f t="shared" si="38"/>
        <v/>
      </c>
      <c r="S10" s="24"/>
      <c r="T10" s="22"/>
      <c r="U10" s="32" t="str">
        <f t="shared" si="39"/>
        <v/>
      </c>
      <c r="V10" s="22"/>
      <c r="W10" s="22"/>
      <c r="X10" s="22"/>
      <c r="Y10" s="32" t="str">
        <f t="shared" si="40"/>
        <v/>
      </c>
      <c r="Z10" s="22"/>
      <c r="AA10" s="22"/>
      <c r="AB10" s="22"/>
      <c r="AC10" s="29" t="str">
        <f t="shared" si="3"/>
        <v/>
      </c>
      <c r="AD10" s="22"/>
      <c r="AE10" s="22"/>
      <c r="AF10" s="22"/>
      <c r="AG10" s="29" t="str">
        <f t="shared" si="4"/>
        <v/>
      </c>
      <c r="AH10" s="22"/>
      <c r="AI10" s="22"/>
      <c r="AJ10" s="22"/>
      <c r="AK10" s="29" t="str">
        <f t="shared" si="5"/>
        <v/>
      </c>
      <c r="AL10" s="22"/>
      <c r="AM10" s="22"/>
      <c r="AN10" s="22"/>
      <c r="AO10" s="29" t="str">
        <f t="shared" si="6"/>
        <v/>
      </c>
      <c r="AP10" s="22"/>
      <c r="AQ10" s="22"/>
      <c r="AR10" s="22"/>
      <c r="AS10" s="29" t="str">
        <f t="shared" si="7"/>
        <v/>
      </c>
      <c r="AT10" s="22"/>
      <c r="AU10" s="22"/>
      <c r="AV10" s="22"/>
      <c r="AW10" s="29" t="str">
        <f t="shared" si="41"/>
        <v/>
      </c>
      <c r="AX10" s="24"/>
      <c r="AY10" s="22"/>
      <c r="AZ10" s="22"/>
      <c r="BA10" s="29" t="str">
        <f t="shared" si="42"/>
        <v/>
      </c>
      <c r="BB10" s="22"/>
      <c r="BC10" s="22"/>
      <c r="BD10" s="22"/>
      <c r="BE10" s="29" t="str">
        <f t="shared" si="8"/>
        <v/>
      </c>
      <c r="BF10" s="22"/>
      <c r="BG10" s="22"/>
      <c r="BH10" s="22"/>
      <c r="BI10" s="29" t="str">
        <f t="shared" si="9"/>
        <v/>
      </c>
      <c r="BJ10" s="22"/>
      <c r="BK10" s="22"/>
      <c r="BL10" s="22"/>
      <c r="BM10" s="29" t="str">
        <f t="shared" si="43"/>
        <v/>
      </c>
      <c r="BN10" s="22"/>
      <c r="BO10" s="22"/>
      <c r="BP10" s="22"/>
      <c r="BQ10" s="29" t="str">
        <f t="shared" si="10"/>
        <v/>
      </c>
      <c r="BR10" s="22"/>
      <c r="BS10" s="22"/>
      <c r="BT10" s="22"/>
      <c r="BU10" s="29" t="str">
        <f t="shared" si="11"/>
        <v/>
      </c>
      <c r="BV10" s="22"/>
      <c r="BW10" s="22"/>
      <c r="BX10" s="22"/>
      <c r="BY10" s="29" t="str">
        <f t="shared" si="12"/>
        <v/>
      </c>
      <c r="BZ10" s="22"/>
      <c r="CA10" s="22"/>
      <c r="CB10" s="29" t="str">
        <f t="shared" si="44"/>
        <v/>
      </c>
      <c r="CC10" s="22"/>
      <c r="CD10" s="22"/>
      <c r="CE10" s="29" t="str">
        <f t="shared" si="45"/>
        <v/>
      </c>
      <c r="CF10" s="22"/>
      <c r="CG10" s="22"/>
      <c r="CH10" s="22"/>
      <c r="CI10" s="29" t="str">
        <f t="shared" si="13"/>
        <v/>
      </c>
      <c r="CJ10" s="22"/>
      <c r="CK10" s="22"/>
      <c r="CL10" s="22"/>
      <c r="CM10" s="29" t="str">
        <f t="shared" si="14"/>
        <v/>
      </c>
      <c r="CN10" s="22"/>
      <c r="CO10" s="22"/>
      <c r="CP10" s="22"/>
      <c r="CQ10" s="29" t="str">
        <f t="shared" si="15"/>
        <v/>
      </c>
      <c r="CR10" s="22"/>
      <c r="CS10" s="22"/>
      <c r="CT10" s="29" t="str">
        <f t="shared" si="16"/>
        <v/>
      </c>
      <c r="CU10" s="22"/>
      <c r="CV10" s="22"/>
      <c r="CW10" s="22"/>
      <c r="CX10" s="29" t="str">
        <f t="shared" si="17"/>
        <v/>
      </c>
      <c r="CY10" s="22"/>
      <c r="CZ10" s="22"/>
      <c r="DA10" s="22"/>
      <c r="DB10" s="29" t="str">
        <f t="shared" si="18"/>
        <v/>
      </c>
      <c r="DC10" s="22"/>
      <c r="DD10" s="22"/>
      <c r="DE10" s="29" t="str">
        <f t="shared" si="46"/>
        <v/>
      </c>
      <c r="DF10" s="22"/>
      <c r="DG10" s="22"/>
      <c r="DH10" s="22"/>
      <c r="DI10" s="29" t="str">
        <f t="shared" si="19"/>
        <v/>
      </c>
      <c r="DJ10" s="22"/>
      <c r="DK10" s="22"/>
      <c r="DL10" s="22"/>
      <c r="DM10" s="29" t="str">
        <f t="shared" si="50"/>
        <v/>
      </c>
      <c r="DN10" s="22"/>
      <c r="DO10" s="22"/>
      <c r="DP10" s="22"/>
      <c r="DQ10" s="29" t="str">
        <f t="shared" si="51"/>
        <v/>
      </c>
      <c r="DR10" s="22"/>
      <c r="DS10" s="22"/>
      <c r="DT10" s="22"/>
      <c r="DU10" s="29" t="str">
        <f t="shared" si="52"/>
        <v/>
      </c>
      <c r="DV10" s="22"/>
      <c r="DW10" s="22"/>
      <c r="DX10" s="22"/>
      <c r="DY10" s="29" t="str">
        <f t="shared" si="22"/>
        <v/>
      </c>
      <c r="DZ10" s="22"/>
      <c r="EA10" s="22"/>
      <c r="EB10" s="22"/>
      <c r="EC10" s="29" t="str">
        <f t="shared" si="23"/>
        <v/>
      </c>
      <c r="ED10" s="22"/>
      <c r="EE10" s="22"/>
      <c r="EF10" s="22"/>
      <c r="EG10" s="29" t="str">
        <f t="shared" si="24"/>
        <v/>
      </c>
      <c r="EH10" s="22"/>
      <c r="EI10" s="22"/>
      <c r="EJ10" s="22"/>
      <c r="EK10" s="29" t="str">
        <f t="shared" si="25"/>
        <v/>
      </c>
      <c r="EL10" s="22"/>
      <c r="EM10" s="22"/>
      <c r="EN10" s="22"/>
      <c r="EO10" s="29" t="str">
        <f t="shared" si="26"/>
        <v/>
      </c>
      <c r="EP10" s="22"/>
      <c r="EQ10" s="22"/>
      <c r="ER10" s="22"/>
      <c r="ES10" s="29" t="str">
        <f t="shared" si="27"/>
        <v/>
      </c>
      <c r="ET10" s="22"/>
      <c r="EU10" s="22"/>
      <c r="EV10" s="22"/>
      <c r="EW10" s="29" t="str">
        <f t="shared" si="28"/>
        <v/>
      </c>
      <c r="EX10" s="22"/>
      <c r="EY10" s="22"/>
      <c r="EZ10" s="22"/>
      <c r="FA10" s="29" t="str">
        <f t="shared" si="29"/>
        <v/>
      </c>
      <c r="FB10" s="22"/>
      <c r="FC10" s="22"/>
      <c r="FD10" s="22"/>
      <c r="FE10" s="29" t="str">
        <f t="shared" si="30"/>
        <v/>
      </c>
      <c r="FF10" s="22"/>
      <c r="FG10" s="22"/>
      <c r="FH10" s="22"/>
      <c r="FI10" s="29" t="str">
        <f t="shared" si="31"/>
        <v/>
      </c>
      <c r="FJ10" s="22"/>
      <c r="FK10" s="22"/>
      <c r="FL10" s="22"/>
      <c r="FM10" s="29" t="str">
        <f t="shared" si="32"/>
        <v/>
      </c>
      <c r="FN10" s="22"/>
      <c r="FO10" s="22"/>
      <c r="FP10" s="22"/>
      <c r="FQ10" s="29" t="str">
        <f t="shared" si="33"/>
        <v/>
      </c>
      <c r="FR10" s="22"/>
      <c r="FS10" s="22"/>
      <c r="FT10" s="22"/>
    </row>
    <row r="11" spans="1:176" ht="102" x14ac:dyDescent="0.2">
      <c r="A11" s="30" t="str">
        <f t="shared" si="34"/>
        <v>51742214 Ravi Singh</v>
      </c>
      <c r="B11" s="23" t="s">
        <v>283</v>
      </c>
      <c r="C11" s="23">
        <v>51742214</v>
      </c>
      <c r="D11" s="23"/>
      <c r="E11" s="22"/>
      <c r="F11" s="22"/>
      <c r="G11" s="22"/>
      <c r="H11" s="29" t="str">
        <f t="shared" si="49"/>
        <v/>
      </c>
      <c r="I11" s="22"/>
      <c r="J11" s="22"/>
      <c r="K11" s="22"/>
      <c r="L11" s="29" t="str">
        <f t="shared" si="36"/>
        <v/>
      </c>
      <c r="M11" s="22"/>
      <c r="N11" s="22"/>
      <c r="O11" s="22"/>
      <c r="P11" s="29" t="str">
        <f t="shared" si="37"/>
        <v/>
      </c>
      <c r="Q11" s="22"/>
      <c r="R11" s="32" t="str">
        <f t="shared" si="38"/>
        <v/>
      </c>
      <c r="S11" s="24"/>
      <c r="T11" s="22"/>
      <c r="U11" s="32" t="str">
        <f t="shared" si="39"/>
        <v/>
      </c>
      <c r="V11" s="22"/>
      <c r="W11" s="22"/>
      <c r="X11" s="22"/>
      <c r="Y11" s="32" t="str">
        <f t="shared" si="40"/>
        <v/>
      </c>
      <c r="Z11" s="22"/>
      <c r="AA11" s="22"/>
      <c r="AB11" s="22"/>
      <c r="AC11" s="29" t="str">
        <f t="shared" si="3"/>
        <v/>
      </c>
      <c r="AD11" s="22"/>
      <c r="AE11" s="22"/>
      <c r="AF11" s="22"/>
      <c r="AG11" s="29" t="str">
        <f t="shared" si="4"/>
        <v/>
      </c>
      <c r="AH11" s="22"/>
      <c r="AI11" s="22"/>
      <c r="AJ11" s="22"/>
      <c r="AK11" s="29" t="str">
        <f t="shared" si="5"/>
        <v/>
      </c>
      <c r="AL11" s="22"/>
      <c r="AM11" s="22"/>
      <c r="AN11" s="22"/>
      <c r="AO11" s="29" t="str">
        <f t="shared" si="6"/>
        <v/>
      </c>
      <c r="AP11" s="22"/>
      <c r="AQ11" s="22"/>
      <c r="AR11" s="22"/>
      <c r="AS11" s="29" t="str">
        <f t="shared" si="7"/>
        <v/>
      </c>
      <c r="AT11" s="22"/>
      <c r="AU11" s="22"/>
      <c r="AV11" s="22"/>
      <c r="AW11" s="29" t="str">
        <f t="shared" si="41"/>
        <v/>
      </c>
      <c r="AX11" s="24"/>
      <c r="AY11" s="22"/>
      <c r="AZ11" s="22"/>
      <c r="BA11" s="29" t="str">
        <f t="shared" si="42"/>
        <v/>
      </c>
      <c r="BB11" s="22"/>
      <c r="BC11" s="22"/>
      <c r="BD11" s="22"/>
      <c r="BE11" s="29" t="str">
        <f t="shared" si="8"/>
        <v/>
      </c>
      <c r="BF11" s="22"/>
      <c r="BG11" s="22"/>
      <c r="BH11" s="22"/>
      <c r="BI11" s="29" t="str">
        <f t="shared" si="9"/>
        <v/>
      </c>
      <c r="BJ11" s="22"/>
      <c r="BK11" s="22"/>
      <c r="BL11" s="22"/>
      <c r="BM11" s="29" t="str">
        <f t="shared" si="43"/>
        <v/>
      </c>
      <c r="BN11" s="22"/>
      <c r="BO11" s="22"/>
      <c r="BP11" s="22"/>
      <c r="BQ11" s="29" t="str">
        <f t="shared" si="10"/>
        <v/>
      </c>
      <c r="BR11" s="22"/>
      <c r="BS11" s="22"/>
      <c r="BT11" s="22"/>
      <c r="BU11" s="29" t="str">
        <f t="shared" si="11"/>
        <v/>
      </c>
      <c r="BV11" s="22"/>
      <c r="BW11" s="22"/>
      <c r="BX11" s="22"/>
      <c r="BY11" s="29" t="str">
        <f t="shared" si="12"/>
        <v/>
      </c>
      <c r="BZ11" s="22"/>
      <c r="CA11" s="22"/>
      <c r="CB11" s="29" t="str">
        <f t="shared" si="44"/>
        <v/>
      </c>
      <c r="CC11" s="22"/>
      <c r="CD11" s="22"/>
      <c r="CE11" s="29" t="str">
        <f t="shared" si="45"/>
        <v/>
      </c>
      <c r="CF11" s="22"/>
      <c r="CG11" s="22"/>
      <c r="CH11" s="22"/>
      <c r="CI11" s="29" t="str">
        <f t="shared" si="13"/>
        <v/>
      </c>
      <c r="CJ11" s="22"/>
      <c r="CK11" s="22"/>
      <c r="CL11" s="22"/>
      <c r="CM11" s="29" t="str">
        <f t="shared" si="14"/>
        <v/>
      </c>
      <c r="CN11" s="22"/>
      <c r="CO11" s="22"/>
      <c r="CP11" s="22"/>
      <c r="CQ11" s="29" t="str">
        <f t="shared" si="15"/>
        <v/>
      </c>
      <c r="CR11" s="22"/>
      <c r="CS11" s="22"/>
      <c r="CT11" s="29" t="str">
        <f t="shared" si="16"/>
        <v/>
      </c>
      <c r="CU11" s="22"/>
      <c r="CV11" s="22"/>
      <c r="CW11" s="22"/>
      <c r="CX11" s="29" t="str">
        <f t="shared" si="17"/>
        <v/>
      </c>
      <c r="CY11" s="22"/>
      <c r="CZ11" s="22"/>
      <c r="DA11" s="22"/>
      <c r="DB11" s="29" t="str">
        <f t="shared" si="18"/>
        <v/>
      </c>
      <c r="DC11" s="22"/>
      <c r="DD11" s="22"/>
      <c r="DE11" s="29" t="str">
        <f t="shared" si="46"/>
        <v/>
      </c>
      <c r="DF11" s="22"/>
      <c r="DG11" s="22"/>
      <c r="DH11" s="22"/>
      <c r="DI11" s="29" t="str">
        <f t="shared" si="19"/>
        <v/>
      </c>
      <c r="DJ11" s="22"/>
      <c r="DK11" s="22"/>
      <c r="DL11" s="22"/>
      <c r="DM11" s="29" t="str">
        <f t="shared" si="50"/>
        <v/>
      </c>
      <c r="DN11" s="22"/>
      <c r="DO11" s="22"/>
      <c r="DP11" s="22"/>
      <c r="DQ11" s="29" t="str">
        <f t="shared" si="51"/>
        <v/>
      </c>
      <c r="DR11" s="22"/>
      <c r="DS11" s="22"/>
      <c r="DT11" s="22"/>
      <c r="DU11" s="29" t="str">
        <f t="shared" si="52"/>
        <v/>
      </c>
      <c r="DV11" s="22"/>
      <c r="DW11" s="22"/>
      <c r="DX11" s="22"/>
      <c r="DY11" s="29" t="str">
        <f t="shared" si="22"/>
        <v/>
      </c>
      <c r="DZ11" s="22"/>
      <c r="EA11" s="22"/>
      <c r="EB11" s="22"/>
      <c r="EC11" s="29" t="str">
        <f t="shared" si="23"/>
        <v/>
      </c>
      <c r="ED11" s="22"/>
      <c r="EE11" s="22"/>
      <c r="EF11" s="22"/>
      <c r="EG11" s="29" t="str">
        <f t="shared" si="24"/>
        <v/>
      </c>
      <c r="EH11" s="22"/>
      <c r="EI11" s="22"/>
      <c r="EJ11" s="22"/>
      <c r="EK11" s="29" t="str">
        <f t="shared" si="25"/>
        <v/>
      </c>
      <c r="EL11" s="22"/>
      <c r="EM11" s="22"/>
      <c r="EN11" s="22"/>
      <c r="EO11" s="29" t="str">
        <f t="shared" si="26"/>
        <v/>
      </c>
      <c r="EP11" s="22"/>
      <c r="EQ11" s="22"/>
      <c r="ER11" s="22"/>
      <c r="ES11" s="29" t="str">
        <f t="shared" si="27"/>
        <v/>
      </c>
      <c r="ET11" s="22"/>
      <c r="EU11" s="22"/>
      <c r="EV11" s="22"/>
      <c r="EW11" s="29" t="str">
        <f t="shared" si="28"/>
        <v/>
      </c>
      <c r="EX11" s="22"/>
      <c r="EY11" s="22"/>
      <c r="EZ11" s="22"/>
      <c r="FA11" s="29" t="str">
        <f t="shared" si="29"/>
        <v/>
      </c>
      <c r="FB11" s="22"/>
      <c r="FC11" s="22"/>
      <c r="FD11" s="22"/>
      <c r="FE11" s="29" t="str">
        <f t="shared" si="30"/>
        <v/>
      </c>
      <c r="FF11" s="22"/>
      <c r="FG11" s="22"/>
      <c r="FH11" s="22"/>
      <c r="FI11" s="29" t="str">
        <f t="shared" si="31"/>
        <v/>
      </c>
      <c r="FJ11" s="22"/>
      <c r="FK11" s="22"/>
      <c r="FL11" s="22"/>
      <c r="FM11" s="29" t="str">
        <f t="shared" si="32"/>
        <v/>
      </c>
      <c r="FN11" s="22"/>
      <c r="FO11" s="22"/>
      <c r="FP11" s="22"/>
      <c r="FQ11" s="29" t="str">
        <f t="shared" si="33"/>
        <v/>
      </c>
      <c r="FR11" s="22"/>
      <c r="FS11" s="22"/>
      <c r="FT11" s="22"/>
    </row>
    <row r="12" spans="1:176" ht="12.75" customHeight="1" x14ac:dyDescent="0.2">
      <c r="A12" s="30" t="str">
        <f t="shared" si="34"/>
        <v>51744510 Amit Saxena</v>
      </c>
      <c r="B12" s="23" t="s">
        <v>284</v>
      </c>
      <c r="C12" s="23">
        <v>51744510</v>
      </c>
      <c r="D12" s="23"/>
      <c r="E12" s="22"/>
      <c r="F12" s="22"/>
      <c r="G12" s="22"/>
      <c r="H12" s="29" t="str">
        <f t="shared" si="49"/>
        <v/>
      </c>
      <c r="I12" s="22"/>
      <c r="J12" s="22"/>
      <c r="K12" s="22"/>
      <c r="L12" s="29" t="str">
        <f t="shared" si="36"/>
        <v/>
      </c>
      <c r="M12" s="22"/>
      <c r="N12" s="22"/>
      <c r="O12" s="22"/>
      <c r="P12" s="29" t="str">
        <f t="shared" si="37"/>
        <v/>
      </c>
      <c r="Q12" s="22"/>
      <c r="R12" s="32" t="str">
        <f t="shared" si="38"/>
        <v/>
      </c>
      <c r="S12" s="24"/>
      <c r="T12" s="22"/>
      <c r="U12" s="32" t="str">
        <f t="shared" si="39"/>
        <v/>
      </c>
      <c r="V12" s="22"/>
      <c r="W12" s="22"/>
      <c r="X12" s="22"/>
      <c r="Y12" s="32" t="str">
        <f t="shared" si="40"/>
        <v/>
      </c>
      <c r="Z12" s="22"/>
      <c r="AA12" s="22"/>
      <c r="AB12" s="22"/>
      <c r="AC12" s="29" t="str">
        <f t="shared" si="3"/>
        <v/>
      </c>
      <c r="AD12" s="22"/>
      <c r="AE12" s="22"/>
      <c r="AF12" s="22"/>
      <c r="AG12" s="29" t="str">
        <f t="shared" si="4"/>
        <v/>
      </c>
      <c r="AH12" s="22"/>
      <c r="AI12" s="22"/>
      <c r="AJ12" s="22"/>
      <c r="AK12" s="29" t="str">
        <f t="shared" si="5"/>
        <v/>
      </c>
      <c r="AL12" s="22"/>
      <c r="AM12" s="22"/>
      <c r="AN12" s="22"/>
      <c r="AO12" s="29" t="str">
        <f t="shared" si="6"/>
        <v/>
      </c>
      <c r="AP12" s="22"/>
      <c r="AQ12" s="22"/>
      <c r="AR12" s="22"/>
      <c r="AS12" s="29" t="str">
        <f t="shared" si="7"/>
        <v/>
      </c>
      <c r="AT12" s="22"/>
      <c r="AU12" s="22"/>
      <c r="AV12" s="22"/>
      <c r="AW12" s="29" t="str">
        <f t="shared" si="41"/>
        <v/>
      </c>
      <c r="AX12" s="24"/>
      <c r="AY12" s="22"/>
      <c r="AZ12" s="22"/>
      <c r="BA12" s="29" t="str">
        <f t="shared" si="42"/>
        <v/>
      </c>
      <c r="BB12" s="22"/>
      <c r="BC12" s="22"/>
      <c r="BD12" s="22"/>
      <c r="BE12" s="29" t="str">
        <f t="shared" si="8"/>
        <v/>
      </c>
      <c r="BF12" s="22"/>
      <c r="BG12" s="22"/>
      <c r="BH12" s="22"/>
      <c r="BI12" s="29" t="str">
        <f t="shared" si="9"/>
        <v/>
      </c>
      <c r="BJ12" s="22"/>
      <c r="BK12" s="22"/>
      <c r="BL12" s="22"/>
      <c r="BM12" s="29" t="str">
        <f t="shared" si="43"/>
        <v/>
      </c>
      <c r="BN12" s="22"/>
      <c r="BO12" s="22"/>
      <c r="BP12" s="22"/>
      <c r="BQ12" s="29" t="str">
        <f t="shared" si="10"/>
        <v/>
      </c>
      <c r="BR12" s="22"/>
      <c r="BS12" s="22"/>
      <c r="BT12" s="22"/>
      <c r="BU12" s="29" t="str">
        <f t="shared" si="11"/>
        <v/>
      </c>
      <c r="BV12" s="22"/>
      <c r="BW12" s="22"/>
      <c r="BX12" s="22"/>
      <c r="BY12" s="29" t="str">
        <f t="shared" si="12"/>
        <v/>
      </c>
      <c r="BZ12" s="22"/>
      <c r="CA12" s="22"/>
      <c r="CB12" s="29" t="str">
        <f t="shared" si="44"/>
        <v/>
      </c>
      <c r="CC12" s="22"/>
      <c r="CD12" s="22"/>
      <c r="CE12" s="29" t="str">
        <f t="shared" si="45"/>
        <v/>
      </c>
      <c r="CF12" s="22"/>
      <c r="CG12" s="22"/>
      <c r="CH12" s="22"/>
      <c r="CI12" s="29" t="str">
        <f t="shared" si="13"/>
        <v/>
      </c>
      <c r="CJ12" s="22"/>
      <c r="CK12" s="22"/>
      <c r="CL12" s="22"/>
      <c r="CM12" s="29" t="str">
        <f t="shared" si="14"/>
        <v/>
      </c>
      <c r="CN12" s="22"/>
      <c r="CO12" s="22"/>
      <c r="CP12" s="22"/>
      <c r="CQ12" s="29" t="str">
        <f t="shared" si="15"/>
        <v/>
      </c>
      <c r="CR12" s="22"/>
      <c r="CS12" s="22"/>
      <c r="CT12" s="29" t="str">
        <f t="shared" si="16"/>
        <v/>
      </c>
      <c r="CU12" s="22"/>
      <c r="CV12" s="22"/>
      <c r="CW12" s="22"/>
      <c r="CX12" s="29" t="str">
        <f t="shared" si="17"/>
        <v/>
      </c>
      <c r="CY12" s="22"/>
      <c r="CZ12" s="22"/>
      <c r="DA12" s="22"/>
      <c r="DB12" s="29" t="str">
        <f t="shared" si="18"/>
        <v/>
      </c>
      <c r="DC12" s="22"/>
      <c r="DD12" s="22"/>
      <c r="DE12" s="29" t="str">
        <f t="shared" si="46"/>
        <v/>
      </c>
      <c r="DF12" s="22"/>
      <c r="DG12" s="22"/>
      <c r="DH12" s="22"/>
      <c r="DI12" s="29" t="str">
        <f t="shared" si="19"/>
        <v/>
      </c>
      <c r="DJ12" s="22"/>
      <c r="DK12" s="22"/>
      <c r="DL12" s="22"/>
      <c r="DM12" s="29" t="str">
        <f t="shared" si="50"/>
        <v/>
      </c>
      <c r="DN12" s="22"/>
      <c r="DO12" s="22"/>
      <c r="DP12" s="22"/>
      <c r="DQ12" s="29" t="str">
        <f t="shared" si="51"/>
        <v/>
      </c>
      <c r="DR12" s="22"/>
      <c r="DS12" s="22"/>
      <c r="DT12" s="22"/>
      <c r="DU12" s="29" t="str">
        <f t="shared" si="52"/>
        <v/>
      </c>
      <c r="DV12" s="22"/>
      <c r="DW12" s="22"/>
      <c r="DX12" s="22"/>
      <c r="DY12" s="29" t="str">
        <f t="shared" si="22"/>
        <v/>
      </c>
      <c r="DZ12" s="22"/>
      <c r="EA12" s="22"/>
      <c r="EB12" s="22"/>
      <c r="EC12" s="29" t="str">
        <f t="shared" si="23"/>
        <v/>
      </c>
      <c r="ED12" s="22"/>
      <c r="EE12" s="22"/>
      <c r="EF12" s="22"/>
      <c r="EG12" s="29" t="str">
        <f t="shared" si="24"/>
        <v/>
      </c>
      <c r="EH12" s="22"/>
      <c r="EI12" s="22"/>
      <c r="EJ12" s="22"/>
      <c r="EK12" s="29" t="str">
        <f t="shared" si="25"/>
        <v/>
      </c>
      <c r="EL12" s="22"/>
      <c r="EM12" s="22"/>
      <c r="EN12" s="22"/>
      <c r="EO12" s="29" t="str">
        <f t="shared" si="26"/>
        <v/>
      </c>
      <c r="EP12" s="22"/>
      <c r="EQ12" s="22"/>
      <c r="ER12" s="22"/>
      <c r="ES12" s="29" t="str">
        <f t="shared" si="27"/>
        <v/>
      </c>
      <c r="ET12" s="22"/>
      <c r="EU12" s="22"/>
      <c r="EV12" s="22"/>
      <c r="EW12" s="29" t="str">
        <f t="shared" si="28"/>
        <v/>
      </c>
      <c r="EX12" s="22"/>
      <c r="EY12" s="22"/>
      <c r="EZ12" s="22"/>
      <c r="FA12" s="29" t="str">
        <f t="shared" si="29"/>
        <v/>
      </c>
      <c r="FB12" s="22"/>
      <c r="FC12" s="22"/>
      <c r="FD12" s="22"/>
      <c r="FE12" s="29" t="str">
        <f t="shared" si="30"/>
        <v/>
      </c>
      <c r="FF12" s="22"/>
      <c r="FG12" s="22"/>
      <c r="FH12" s="22"/>
      <c r="FI12" s="29" t="str">
        <f t="shared" si="31"/>
        <v/>
      </c>
      <c r="FJ12" s="22"/>
      <c r="FK12" s="22"/>
      <c r="FL12" s="22"/>
      <c r="FM12" s="29" t="str">
        <f t="shared" si="32"/>
        <v/>
      </c>
      <c r="FN12" s="22"/>
      <c r="FO12" s="22"/>
      <c r="FP12" s="22"/>
      <c r="FQ12" s="29" t="str">
        <f t="shared" si="33"/>
        <v/>
      </c>
      <c r="FR12" s="22"/>
      <c r="FS12" s="22"/>
      <c r="FT12" s="22"/>
    </row>
    <row r="13" spans="1:176" x14ac:dyDescent="0.2">
      <c r="A13" s="30" t="str">
        <f t="shared" si="34"/>
        <v xml:space="preserve"> </v>
      </c>
      <c r="B13" s="23"/>
      <c r="C13" s="23"/>
      <c r="D13" s="23"/>
      <c r="E13" s="22"/>
      <c r="F13" s="22"/>
      <c r="G13" s="22"/>
      <c r="H13" s="29" t="str">
        <f t="shared" si="49"/>
        <v/>
      </c>
      <c r="I13" s="22"/>
      <c r="J13" s="22"/>
      <c r="K13" s="22"/>
      <c r="L13" s="29" t="str">
        <f t="shared" si="36"/>
        <v/>
      </c>
      <c r="M13" s="22"/>
      <c r="N13" s="22"/>
      <c r="O13" s="22"/>
      <c r="P13" s="29" t="str">
        <f t="shared" si="37"/>
        <v/>
      </c>
      <c r="Q13" s="22"/>
      <c r="R13" s="32" t="str">
        <f t="shared" si="38"/>
        <v/>
      </c>
      <c r="S13" s="24"/>
      <c r="T13" s="22"/>
      <c r="U13" s="32" t="str">
        <f t="shared" si="39"/>
        <v/>
      </c>
      <c r="V13" s="22"/>
      <c r="W13" s="22"/>
      <c r="X13" s="22"/>
      <c r="Y13" s="32" t="str">
        <f t="shared" si="40"/>
        <v/>
      </c>
      <c r="Z13" s="22"/>
      <c r="AA13" s="22"/>
      <c r="AB13" s="22"/>
      <c r="AC13" s="29" t="str">
        <f t="shared" si="3"/>
        <v/>
      </c>
      <c r="AD13" s="22"/>
      <c r="AE13" s="22"/>
      <c r="AF13" s="22"/>
      <c r="AG13" s="29" t="str">
        <f t="shared" si="4"/>
        <v/>
      </c>
      <c r="AH13" s="22"/>
      <c r="AI13" s="22"/>
      <c r="AJ13" s="22"/>
      <c r="AK13" s="29" t="str">
        <f t="shared" si="5"/>
        <v/>
      </c>
      <c r="AL13" s="22"/>
      <c r="AM13" s="22"/>
      <c r="AN13" s="22"/>
      <c r="AO13" s="29" t="str">
        <f t="shared" si="6"/>
        <v/>
      </c>
      <c r="AP13" s="22"/>
      <c r="AQ13" s="22"/>
      <c r="AR13" s="22"/>
      <c r="AS13" s="29" t="str">
        <f t="shared" si="7"/>
        <v/>
      </c>
      <c r="AT13" s="22"/>
      <c r="AU13" s="22"/>
      <c r="AV13" s="22"/>
      <c r="AW13" s="29" t="str">
        <f t="shared" si="41"/>
        <v/>
      </c>
      <c r="AX13" s="24"/>
      <c r="AY13" s="22"/>
      <c r="AZ13" s="22"/>
      <c r="BA13" s="29" t="str">
        <f t="shared" si="42"/>
        <v/>
      </c>
      <c r="BB13" s="22"/>
      <c r="BC13" s="22"/>
      <c r="BD13" s="22"/>
      <c r="BE13" s="29" t="str">
        <f t="shared" si="8"/>
        <v/>
      </c>
      <c r="BF13" s="22"/>
      <c r="BG13" s="22"/>
      <c r="BH13" s="22"/>
      <c r="BI13" s="29" t="str">
        <f t="shared" si="9"/>
        <v/>
      </c>
      <c r="BJ13" s="22"/>
      <c r="BK13" s="22"/>
      <c r="BL13" s="22"/>
      <c r="BM13" s="29" t="str">
        <f t="shared" si="43"/>
        <v/>
      </c>
      <c r="BN13" s="22"/>
      <c r="BO13" s="22"/>
      <c r="BP13" s="22"/>
      <c r="BQ13" s="29" t="str">
        <f t="shared" si="10"/>
        <v/>
      </c>
      <c r="BR13" s="22"/>
      <c r="BS13" s="22"/>
      <c r="BT13" s="22"/>
      <c r="BU13" s="29" t="str">
        <f t="shared" si="11"/>
        <v/>
      </c>
      <c r="BV13" s="22"/>
      <c r="BW13" s="22"/>
      <c r="BX13" s="22"/>
      <c r="BY13" s="29" t="str">
        <f t="shared" si="12"/>
        <v/>
      </c>
      <c r="BZ13" s="22"/>
      <c r="CA13" s="22"/>
      <c r="CB13" s="29" t="str">
        <f t="shared" si="44"/>
        <v/>
      </c>
      <c r="CC13" s="22"/>
      <c r="CD13" s="22"/>
      <c r="CE13" s="29" t="str">
        <f t="shared" si="45"/>
        <v/>
      </c>
      <c r="CF13" s="22"/>
      <c r="CG13" s="22"/>
      <c r="CH13" s="22"/>
      <c r="CI13" s="29" t="str">
        <f t="shared" si="13"/>
        <v/>
      </c>
      <c r="CJ13" s="22"/>
      <c r="CK13" s="22"/>
      <c r="CL13" s="22"/>
      <c r="CM13" s="29" t="str">
        <f t="shared" si="14"/>
        <v/>
      </c>
      <c r="CN13" s="22"/>
      <c r="CO13" s="22"/>
      <c r="CP13" s="22"/>
      <c r="CQ13" s="29" t="str">
        <f t="shared" si="15"/>
        <v/>
      </c>
      <c r="CR13" s="22"/>
      <c r="CS13" s="22"/>
      <c r="CT13" s="29" t="str">
        <f t="shared" si="16"/>
        <v/>
      </c>
      <c r="CU13" s="22"/>
      <c r="CV13" s="22"/>
      <c r="CW13" s="22"/>
      <c r="CX13" s="29" t="str">
        <f t="shared" si="17"/>
        <v/>
      </c>
      <c r="CY13" s="22"/>
      <c r="CZ13" s="22"/>
      <c r="DA13" s="22"/>
      <c r="DB13" s="29" t="str">
        <f t="shared" si="18"/>
        <v/>
      </c>
      <c r="DC13" s="22"/>
      <c r="DD13" s="22"/>
      <c r="DE13" s="29" t="str">
        <f t="shared" si="46"/>
        <v/>
      </c>
      <c r="DF13" s="22"/>
      <c r="DG13" s="22"/>
      <c r="DH13" s="22"/>
      <c r="DI13" s="29" t="str">
        <f t="shared" si="19"/>
        <v/>
      </c>
      <c r="DJ13" s="22"/>
      <c r="DK13" s="22"/>
      <c r="DL13" s="22"/>
      <c r="DM13" s="29" t="str">
        <f t="shared" si="50"/>
        <v/>
      </c>
      <c r="DN13" s="22"/>
      <c r="DO13" s="22"/>
      <c r="DP13" s="22"/>
      <c r="DQ13" s="29" t="str">
        <f t="shared" si="51"/>
        <v/>
      </c>
      <c r="DR13" s="22"/>
      <c r="DS13" s="22"/>
      <c r="DT13" s="22"/>
      <c r="DU13" s="29" t="str">
        <f t="shared" si="52"/>
        <v/>
      </c>
      <c r="DV13" s="22"/>
      <c r="DW13" s="22"/>
      <c r="DX13" s="22"/>
      <c r="DY13" s="29" t="str">
        <f t="shared" si="22"/>
        <v/>
      </c>
      <c r="DZ13" s="22"/>
      <c r="EA13" s="22"/>
      <c r="EB13" s="22"/>
      <c r="EC13" s="29" t="str">
        <f t="shared" si="23"/>
        <v/>
      </c>
      <c r="ED13" s="22"/>
      <c r="EE13" s="22"/>
      <c r="EF13" s="22"/>
      <c r="EG13" s="29" t="str">
        <f t="shared" si="24"/>
        <v/>
      </c>
      <c r="EH13" s="22"/>
      <c r="EI13" s="22"/>
      <c r="EJ13" s="22"/>
      <c r="EK13" s="29" t="str">
        <f t="shared" si="25"/>
        <v/>
      </c>
      <c r="EL13" s="22"/>
      <c r="EM13" s="22"/>
      <c r="EN13" s="22"/>
      <c r="EO13" s="29" t="str">
        <f t="shared" si="26"/>
        <v/>
      </c>
      <c r="EP13" s="22"/>
      <c r="EQ13" s="22"/>
      <c r="ER13" s="22"/>
      <c r="ES13" s="29" t="str">
        <f t="shared" si="27"/>
        <v/>
      </c>
      <c r="ET13" s="22"/>
      <c r="EU13" s="22"/>
      <c r="EV13" s="22"/>
      <c r="EW13" s="29" t="str">
        <f t="shared" si="28"/>
        <v/>
      </c>
      <c r="EX13" s="22"/>
      <c r="EY13" s="22"/>
      <c r="EZ13" s="22"/>
      <c r="FA13" s="29" t="str">
        <f t="shared" si="29"/>
        <v/>
      </c>
      <c r="FB13" s="22"/>
      <c r="FC13" s="22"/>
      <c r="FD13" s="22"/>
      <c r="FE13" s="29" t="str">
        <f t="shared" si="30"/>
        <v/>
      </c>
      <c r="FF13" s="22"/>
      <c r="FG13" s="22"/>
      <c r="FH13" s="22"/>
      <c r="FI13" s="29" t="str">
        <f t="shared" si="31"/>
        <v/>
      </c>
      <c r="FJ13" s="22"/>
      <c r="FK13" s="22"/>
      <c r="FL13" s="22"/>
      <c r="FM13" s="29" t="str">
        <f t="shared" si="32"/>
        <v/>
      </c>
      <c r="FN13" s="22"/>
      <c r="FO13" s="22"/>
      <c r="FP13" s="22"/>
      <c r="FQ13" s="29" t="str">
        <f t="shared" si="33"/>
        <v/>
      </c>
      <c r="FR13" s="22"/>
      <c r="FS13" s="22"/>
      <c r="FT13" s="22"/>
    </row>
    <row r="14" spans="1:176" x14ac:dyDescent="0.2">
      <c r="A14" s="30" t="str">
        <f t="shared" si="34"/>
        <v xml:space="preserve"> </v>
      </c>
      <c r="B14" s="23"/>
      <c r="C14" s="23"/>
      <c r="D14" s="23"/>
      <c r="E14" s="22"/>
      <c r="F14" s="22"/>
      <c r="G14" s="22"/>
      <c r="H14" s="29" t="str">
        <f t="shared" si="49"/>
        <v/>
      </c>
      <c r="I14" s="22"/>
      <c r="J14" s="22"/>
      <c r="K14" s="22"/>
      <c r="L14" s="29" t="str">
        <f t="shared" si="36"/>
        <v/>
      </c>
      <c r="M14" s="22"/>
      <c r="N14" s="22"/>
      <c r="O14" s="22"/>
      <c r="P14" s="29" t="str">
        <f t="shared" si="37"/>
        <v/>
      </c>
      <c r="Q14" s="22"/>
      <c r="R14" s="32" t="str">
        <f t="shared" si="38"/>
        <v/>
      </c>
      <c r="S14" s="24"/>
      <c r="T14" s="22"/>
      <c r="U14" s="32" t="str">
        <f t="shared" si="39"/>
        <v/>
      </c>
      <c r="V14" s="22"/>
      <c r="W14" s="22"/>
      <c r="X14" s="22"/>
      <c r="Y14" s="32" t="str">
        <f t="shared" si="40"/>
        <v/>
      </c>
      <c r="Z14" s="22"/>
      <c r="AA14" s="22"/>
      <c r="AB14" s="22"/>
      <c r="AC14" s="29" t="str">
        <f t="shared" si="3"/>
        <v/>
      </c>
      <c r="AD14" s="22"/>
      <c r="AE14" s="22"/>
      <c r="AF14" s="22"/>
      <c r="AG14" s="29" t="str">
        <f t="shared" si="4"/>
        <v/>
      </c>
      <c r="AH14" s="22"/>
      <c r="AI14" s="22"/>
      <c r="AJ14" s="22"/>
      <c r="AK14" s="29" t="str">
        <f t="shared" si="5"/>
        <v/>
      </c>
      <c r="AL14" s="22"/>
      <c r="AM14" s="22"/>
      <c r="AN14" s="22"/>
      <c r="AO14" s="29" t="str">
        <f t="shared" si="6"/>
        <v/>
      </c>
      <c r="AP14" s="22"/>
      <c r="AQ14" s="22"/>
      <c r="AR14" s="22"/>
      <c r="AS14" s="29" t="str">
        <f t="shared" si="7"/>
        <v/>
      </c>
      <c r="AT14" s="22"/>
      <c r="AU14" s="22"/>
      <c r="AV14" s="22"/>
      <c r="AW14" s="29" t="str">
        <f t="shared" si="41"/>
        <v/>
      </c>
      <c r="AX14" s="24"/>
      <c r="AY14" s="22"/>
      <c r="AZ14" s="22"/>
      <c r="BA14" s="29" t="str">
        <f t="shared" si="42"/>
        <v/>
      </c>
      <c r="BB14" s="22"/>
      <c r="BC14" s="22"/>
      <c r="BD14" s="22"/>
      <c r="BE14" s="29" t="str">
        <f t="shared" si="8"/>
        <v/>
      </c>
      <c r="BF14" s="22"/>
      <c r="BG14" s="22"/>
      <c r="BH14" s="22"/>
      <c r="BI14" s="29" t="str">
        <f t="shared" si="9"/>
        <v/>
      </c>
      <c r="BJ14" s="22"/>
      <c r="BK14" s="22"/>
      <c r="BL14" s="22"/>
      <c r="BM14" s="29" t="str">
        <f t="shared" si="43"/>
        <v/>
      </c>
      <c r="BN14" s="22"/>
      <c r="BO14" s="22"/>
      <c r="BP14" s="22"/>
      <c r="BQ14" s="29" t="str">
        <f t="shared" si="10"/>
        <v/>
      </c>
      <c r="BR14" s="22"/>
      <c r="BS14" s="22"/>
      <c r="BT14" s="22"/>
      <c r="BU14" s="29" t="str">
        <f t="shared" si="11"/>
        <v/>
      </c>
      <c r="BV14" s="22"/>
      <c r="BW14" s="22"/>
      <c r="BX14" s="22"/>
      <c r="BY14" s="29" t="str">
        <f t="shared" si="12"/>
        <v/>
      </c>
      <c r="BZ14" s="22"/>
      <c r="CA14" s="22"/>
      <c r="CB14" s="29" t="str">
        <f t="shared" si="44"/>
        <v/>
      </c>
      <c r="CC14" s="22"/>
      <c r="CD14" s="22"/>
      <c r="CE14" s="29" t="str">
        <f t="shared" si="45"/>
        <v/>
      </c>
      <c r="CF14" s="22"/>
      <c r="CG14" s="22"/>
      <c r="CH14" s="22"/>
      <c r="CI14" s="29" t="str">
        <f t="shared" si="13"/>
        <v/>
      </c>
      <c r="CJ14" s="22"/>
      <c r="CK14" s="22"/>
      <c r="CL14" s="22"/>
      <c r="CM14" s="29" t="str">
        <f t="shared" si="14"/>
        <v/>
      </c>
      <c r="CN14" s="22"/>
      <c r="CO14" s="22"/>
      <c r="CP14" s="22"/>
      <c r="CQ14" s="29" t="str">
        <f t="shared" si="15"/>
        <v/>
      </c>
      <c r="CR14" s="22"/>
      <c r="CS14" s="22"/>
      <c r="CT14" s="29" t="str">
        <f t="shared" si="16"/>
        <v/>
      </c>
      <c r="CU14" s="22"/>
      <c r="CV14" s="22"/>
      <c r="CW14" s="22"/>
      <c r="CX14" s="29" t="str">
        <f t="shared" si="17"/>
        <v/>
      </c>
      <c r="CY14" s="22"/>
      <c r="CZ14" s="22"/>
      <c r="DA14" s="22"/>
      <c r="DB14" s="29" t="str">
        <f t="shared" si="18"/>
        <v/>
      </c>
      <c r="DC14" s="22"/>
      <c r="DD14" s="22"/>
      <c r="DE14" s="29" t="str">
        <f t="shared" si="46"/>
        <v/>
      </c>
      <c r="DF14" s="22"/>
      <c r="DG14" s="22"/>
      <c r="DH14" s="22"/>
      <c r="DI14" s="29" t="str">
        <f t="shared" si="19"/>
        <v/>
      </c>
      <c r="DJ14" s="22"/>
      <c r="DK14" s="22"/>
      <c r="DL14" s="22"/>
      <c r="DM14" s="29" t="str">
        <f t="shared" si="50"/>
        <v/>
      </c>
      <c r="DN14" s="22"/>
      <c r="DO14" s="22"/>
      <c r="DP14" s="22"/>
      <c r="DQ14" s="29" t="str">
        <f t="shared" si="51"/>
        <v/>
      </c>
      <c r="DR14" s="22"/>
      <c r="DS14" s="22"/>
      <c r="DT14" s="22"/>
      <c r="DU14" s="29" t="str">
        <f t="shared" si="52"/>
        <v/>
      </c>
      <c r="DV14" s="22"/>
      <c r="DW14" s="22"/>
      <c r="DX14" s="22"/>
      <c r="DY14" s="29" t="str">
        <f t="shared" si="22"/>
        <v/>
      </c>
      <c r="DZ14" s="22"/>
      <c r="EA14" s="22"/>
      <c r="EB14" s="22"/>
      <c r="EC14" s="29" t="str">
        <f t="shared" si="23"/>
        <v/>
      </c>
      <c r="ED14" s="22"/>
      <c r="EE14" s="22"/>
      <c r="EF14" s="22"/>
      <c r="EG14" s="29" t="str">
        <f t="shared" si="24"/>
        <v/>
      </c>
      <c r="EH14" s="22"/>
      <c r="EI14" s="22"/>
      <c r="EJ14" s="22"/>
      <c r="EK14" s="29" t="str">
        <f t="shared" si="25"/>
        <v/>
      </c>
      <c r="EL14" s="22"/>
      <c r="EM14" s="22"/>
      <c r="EN14" s="22"/>
      <c r="EO14" s="29" t="str">
        <f t="shared" si="26"/>
        <v/>
      </c>
      <c r="EP14" s="22"/>
      <c r="EQ14" s="22"/>
      <c r="ER14" s="22"/>
      <c r="ES14" s="29" t="str">
        <f t="shared" si="27"/>
        <v/>
      </c>
      <c r="ET14" s="22"/>
      <c r="EU14" s="22"/>
      <c r="EV14" s="22"/>
      <c r="EW14" s="29" t="str">
        <f t="shared" si="28"/>
        <v/>
      </c>
      <c r="EX14" s="22"/>
      <c r="EY14" s="22"/>
      <c r="EZ14" s="22"/>
      <c r="FA14" s="29" t="str">
        <f t="shared" si="29"/>
        <v/>
      </c>
      <c r="FB14" s="22"/>
      <c r="FC14" s="22"/>
      <c r="FD14" s="22"/>
      <c r="FE14" s="29" t="str">
        <f t="shared" si="30"/>
        <v/>
      </c>
      <c r="FF14" s="22"/>
      <c r="FG14" s="22"/>
      <c r="FH14" s="22"/>
      <c r="FI14" s="29" t="str">
        <f t="shared" si="31"/>
        <v/>
      </c>
      <c r="FJ14" s="22"/>
      <c r="FK14" s="22"/>
      <c r="FL14" s="22"/>
      <c r="FM14" s="29" t="str">
        <f t="shared" si="32"/>
        <v/>
      </c>
      <c r="FN14" s="22"/>
      <c r="FO14" s="22"/>
      <c r="FP14" s="22"/>
      <c r="FQ14" s="29" t="str">
        <f t="shared" si="33"/>
        <v/>
      </c>
      <c r="FR14" s="22"/>
      <c r="FS14" s="22"/>
      <c r="FT14" s="22"/>
    </row>
    <row r="15" spans="1:176" x14ac:dyDescent="0.2">
      <c r="A15" s="30" t="str">
        <f t="shared" si="34"/>
        <v xml:space="preserve"> </v>
      </c>
      <c r="B15" s="23"/>
      <c r="C15" s="23"/>
      <c r="D15" s="23"/>
      <c r="E15" s="22"/>
      <c r="F15" s="22"/>
      <c r="G15" s="22"/>
      <c r="H15" s="29" t="str">
        <f t="shared" si="49"/>
        <v/>
      </c>
      <c r="I15" s="22"/>
      <c r="J15" s="22"/>
      <c r="K15" s="22"/>
      <c r="L15" s="29" t="str">
        <f t="shared" si="36"/>
        <v/>
      </c>
      <c r="M15" s="22"/>
      <c r="N15" s="22"/>
      <c r="O15" s="22"/>
      <c r="P15" s="29" t="str">
        <f t="shared" si="37"/>
        <v/>
      </c>
      <c r="Q15" s="22"/>
      <c r="R15" s="32" t="str">
        <f t="shared" si="38"/>
        <v/>
      </c>
      <c r="S15" s="24"/>
      <c r="T15" s="22"/>
      <c r="U15" s="32" t="str">
        <f t="shared" si="39"/>
        <v/>
      </c>
      <c r="V15" s="22"/>
      <c r="W15" s="22"/>
      <c r="X15" s="22"/>
      <c r="Y15" s="32" t="str">
        <f t="shared" si="40"/>
        <v/>
      </c>
      <c r="Z15" s="22"/>
      <c r="AA15" s="22"/>
      <c r="AB15" s="22"/>
      <c r="AC15" s="29" t="str">
        <f t="shared" si="3"/>
        <v/>
      </c>
      <c r="AD15" s="22"/>
      <c r="AE15" s="22"/>
      <c r="AF15" s="22"/>
      <c r="AG15" s="29" t="str">
        <f t="shared" si="4"/>
        <v/>
      </c>
      <c r="AH15" s="22"/>
      <c r="AI15" s="22"/>
      <c r="AJ15" s="22"/>
      <c r="AK15" s="29" t="str">
        <f t="shared" si="5"/>
        <v/>
      </c>
      <c r="AL15" s="22"/>
      <c r="AM15" s="22"/>
      <c r="AN15" s="22"/>
      <c r="AO15" s="29" t="str">
        <f t="shared" si="6"/>
        <v/>
      </c>
      <c r="AP15" s="22"/>
      <c r="AQ15" s="22"/>
      <c r="AR15" s="22"/>
      <c r="AS15" s="29" t="str">
        <f t="shared" si="7"/>
        <v/>
      </c>
      <c r="AT15" s="22"/>
      <c r="AU15" s="22"/>
      <c r="AV15" s="22"/>
      <c r="AW15" s="29" t="str">
        <f t="shared" si="41"/>
        <v/>
      </c>
      <c r="AX15" s="24"/>
      <c r="AY15" s="22"/>
      <c r="AZ15" s="22"/>
      <c r="BA15" s="29" t="str">
        <f t="shared" si="42"/>
        <v/>
      </c>
      <c r="BB15" s="22"/>
      <c r="BC15" s="22"/>
      <c r="BD15" s="22"/>
      <c r="BE15" s="29" t="str">
        <f t="shared" si="8"/>
        <v/>
      </c>
      <c r="BF15" s="22"/>
      <c r="BG15" s="22"/>
      <c r="BH15" s="22"/>
      <c r="BI15" s="29" t="str">
        <f t="shared" si="9"/>
        <v/>
      </c>
      <c r="BJ15" s="22"/>
      <c r="BK15" s="22"/>
      <c r="BL15" s="22"/>
      <c r="BM15" s="29" t="str">
        <f t="shared" si="43"/>
        <v/>
      </c>
      <c r="BN15" s="22"/>
      <c r="BO15" s="22"/>
      <c r="BP15" s="22"/>
      <c r="BQ15" s="29" t="str">
        <f t="shared" si="10"/>
        <v/>
      </c>
      <c r="BR15" s="22"/>
      <c r="BS15" s="22"/>
      <c r="BT15" s="22"/>
      <c r="BU15" s="29" t="str">
        <f t="shared" si="11"/>
        <v/>
      </c>
      <c r="BV15" s="22"/>
      <c r="BW15" s="22"/>
      <c r="BX15" s="22"/>
      <c r="BY15" s="29" t="str">
        <f t="shared" si="12"/>
        <v/>
      </c>
      <c r="BZ15" s="22"/>
      <c r="CA15" s="22"/>
      <c r="CB15" s="29" t="str">
        <f t="shared" si="44"/>
        <v/>
      </c>
      <c r="CC15" s="22"/>
      <c r="CD15" s="22"/>
      <c r="CE15" s="29" t="str">
        <f t="shared" si="45"/>
        <v/>
      </c>
      <c r="CF15" s="22"/>
      <c r="CG15" s="22"/>
      <c r="CH15" s="22"/>
      <c r="CI15" s="29" t="str">
        <f t="shared" si="13"/>
        <v/>
      </c>
      <c r="CJ15" s="22"/>
      <c r="CK15" s="22"/>
      <c r="CL15" s="22"/>
      <c r="CM15" s="29" t="str">
        <f t="shared" si="14"/>
        <v/>
      </c>
      <c r="CN15" s="22"/>
      <c r="CO15" s="22"/>
      <c r="CP15" s="22"/>
      <c r="CQ15" s="29" t="str">
        <f t="shared" si="15"/>
        <v/>
      </c>
      <c r="CR15" s="22"/>
      <c r="CS15" s="22"/>
      <c r="CT15" s="29" t="str">
        <f t="shared" si="16"/>
        <v/>
      </c>
      <c r="CU15" s="22"/>
      <c r="CV15" s="22"/>
      <c r="CW15" s="22"/>
      <c r="CX15" s="29" t="str">
        <f t="shared" si="17"/>
        <v/>
      </c>
      <c r="CY15" s="22"/>
      <c r="CZ15" s="22"/>
      <c r="DA15" s="22"/>
      <c r="DB15" s="29" t="str">
        <f t="shared" si="18"/>
        <v/>
      </c>
      <c r="DC15" s="22"/>
      <c r="DD15" s="22"/>
      <c r="DE15" s="29" t="str">
        <f t="shared" si="46"/>
        <v/>
      </c>
      <c r="DF15" s="22"/>
      <c r="DG15" s="22"/>
      <c r="DH15" s="22"/>
      <c r="DI15" s="29" t="str">
        <f t="shared" si="19"/>
        <v/>
      </c>
      <c r="DJ15" s="22"/>
      <c r="DK15" s="22"/>
      <c r="DL15" s="22"/>
      <c r="DM15" s="29" t="str">
        <f t="shared" si="50"/>
        <v/>
      </c>
      <c r="DN15" s="22"/>
      <c r="DO15" s="22"/>
      <c r="DP15" s="22"/>
      <c r="DQ15" s="29" t="str">
        <f t="shared" si="51"/>
        <v/>
      </c>
      <c r="DR15" s="22"/>
      <c r="DS15" s="22"/>
      <c r="DT15" s="22"/>
      <c r="DU15" s="29" t="str">
        <f t="shared" si="52"/>
        <v/>
      </c>
      <c r="DV15" s="22"/>
      <c r="DW15" s="22"/>
      <c r="DX15" s="22"/>
      <c r="DY15" s="29" t="str">
        <f t="shared" si="22"/>
        <v/>
      </c>
      <c r="DZ15" s="22"/>
      <c r="EA15" s="22"/>
      <c r="EB15" s="22"/>
      <c r="EC15" s="29" t="str">
        <f t="shared" si="23"/>
        <v/>
      </c>
      <c r="ED15" s="22"/>
      <c r="EE15" s="22"/>
      <c r="EF15" s="22"/>
      <c r="EG15" s="29" t="str">
        <f t="shared" si="24"/>
        <v/>
      </c>
      <c r="EH15" s="22"/>
      <c r="EI15" s="22"/>
      <c r="EJ15" s="22"/>
      <c r="EK15" s="29" t="str">
        <f t="shared" si="25"/>
        <v/>
      </c>
      <c r="EL15" s="22"/>
      <c r="EM15" s="22"/>
      <c r="EN15" s="22"/>
      <c r="EO15" s="29" t="str">
        <f t="shared" si="26"/>
        <v/>
      </c>
      <c r="EP15" s="22"/>
      <c r="EQ15" s="22"/>
      <c r="ER15" s="22"/>
      <c r="ES15" s="29" t="str">
        <f t="shared" si="27"/>
        <v/>
      </c>
      <c r="ET15" s="22"/>
      <c r="EU15" s="22"/>
      <c r="EV15" s="22"/>
      <c r="EW15" s="29" t="str">
        <f t="shared" si="28"/>
        <v/>
      </c>
      <c r="EX15" s="22"/>
      <c r="EY15" s="22"/>
      <c r="EZ15" s="22"/>
      <c r="FA15" s="29" t="str">
        <f t="shared" si="29"/>
        <v/>
      </c>
      <c r="FB15" s="22"/>
      <c r="FC15" s="22"/>
      <c r="FD15" s="22"/>
      <c r="FE15" s="29" t="str">
        <f t="shared" si="30"/>
        <v/>
      </c>
      <c r="FF15" s="22"/>
      <c r="FG15" s="22"/>
      <c r="FH15" s="22"/>
      <c r="FI15" s="29" t="str">
        <f t="shared" si="31"/>
        <v/>
      </c>
      <c r="FJ15" s="22"/>
      <c r="FK15" s="22"/>
      <c r="FL15" s="22"/>
      <c r="FM15" s="29" t="str">
        <f t="shared" si="32"/>
        <v/>
      </c>
      <c r="FN15" s="22"/>
      <c r="FO15" s="22"/>
      <c r="FP15" s="22"/>
      <c r="FQ15" s="29" t="str">
        <f t="shared" si="33"/>
        <v/>
      </c>
      <c r="FR15" s="22"/>
      <c r="FS15" s="22"/>
      <c r="FT15" s="22"/>
    </row>
    <row r="16" spans="1:176" x14ac:dyDescent="0.2">
      <c r="A16" s="30" t="str">
        <f t="shared" si="34"/>
        <v xml:space="preserve"> </v>
      </c>
      <c r="B16" s="23"/>
      <c r="C16" s="23"/>
      <c r="D16" s="23"/>
      <c r="E16" s="22"/>
      <c r="F16" s="22"/>
      <c r="G16" s="22"/>
      <c r="H16" s="29" t="str">
        <f t="shared" si="49"/>
        <v/>
      </c>
      <c r="I16" s="22"/>
      <c r="J16" s="22"/>
      <c r="K16" s="22"/>
      <c r="L16" s="29" t="str">
        <f t="shared" si="36"/>
        <v/>
      </c>
      <c r="M16" s="22"/>
      <c r="N16" s="22"/>
      <c r="O16" s="22"/>
      <c r="P16" s="29" t="str">
        <f t="shared" si="37"/>
        <v/>
      </c>
      <c r="Q16" s="22"/>
      <c r="R16" s="32" t="str">
        <f t="shared" si="38"/>
        <v/>
      </c>
      <c r="S16" s="24"/>
      <c r="T16" s="22"/>
      <c r="U16" s="32" t="str">
        <f t="shared" si="39"/>
        <v/>
      </c>
      <c r="V16" s="22"/>
      <c r="W16" s="22"/>
      <c r="X16" s="22"/>
      <c r="Y16" s="32" t="str">
        <f t="shared" si="40"/>
        <v/>
      </c>
      <c r="Z16" s="22"/>
      <c r="AA16" s="22"/>
      <c r="AB16" s="22"/>
      <c r="AC16" s="29" t="str">
        <f t="shared" si="3"/>
        <v/>
      </c>
      <c r="AD16" s="22"/>
      <c r="AE16" s="22"/>
      <c r="AF16" s="22"/>
      <c r="AG16" s="29" t="str">
        <f t="shared" si="4"/>
        <v/>
      </c>
      <c r="AH16" s="22"/>
      <c r="AI16" s="22"/>
      <c r="AJ16" s="22"/>
      <c r="AK16" s="29" t="str">
        <f t="shared" si="5"/>
        <v/>
      </c>
      <c r="AL16" s="22"/>
      <c r="AM16" s="22"/>
      <c r="AN16" s="22"/>
      <c r="AO16" s="29" t="str">
        <f t="shared" si="6"/>
        <v/>
      </c>
      <c r="AP16" s="22"/>
      <c r="AQ16" s="22"/>
      <c r="AR16" s="22"/>
      <c r="AS16" s="29" t="str">
        <f t="shared" si="7"/>
        <v/>
      </c>
      <c r="AT16" s="22"/>
      <c r="AU16" s="22"/>
      <c r="AV16" s="22"/>
      <c r="AW16" s="29" t="str">
        <f t="shared" si="41"/>
        <v/>
      </c>
      <c r="AX16" s="24"/>
      <c r="AY16" s="22"/>
      <c r="AZ16" s="22"/>
      <c r="BA16" s="29" t="str">
        <f t="shared" si="42"/>
        <v/>
      </c>
      <c r="BB16" s="22"/>
      <c r="BC16" s="22"/>
      <c r="BD16" s="22"/>
      <c r="BE16" s="29" t="str">
        <f t="shared" si="8"/>
        <v/>
      </c>
      <c r="BF16" s="22"/>
      <c r="BG16" s="22"/>
      <c r="BH16" s="22"/>
      <c r="BI16" s="29" t="str">
        <f t="shared" si="9"/>
        <v/>
      </c>
      <c r="BJ16" s="22"/>
      <c r="BK16" s="22"/>
      <c r="BL16" s="22"/>
      <c r="BM16" s="29" t="str">
        <f t="shared" si="43"/>
        <v/>
      </c>
      <c r="BN16" s="22"/>
      <c r="BO16" s="22"/>
      <c r="BP16" s="22"/>
      <c r="BQ16" s="29" t="str">
        <f t="shared" si="10"/>
        <v/>
      </c>
      <c r="BR16" s="22"/>
      <c r="BS16" s="22"/>
      <c r="BT16" s="22"/>
      <c r="BU16" s="29" t="str">
        <f t="shared" si="11"/>
        <v/>
      </c>
      <c r="BV16" s="22"/>
      <c r="BW16" s="22"/>
      <c r="BX16" s="22"/>
      <c r="BY16" s="29" t="str">
        <f t="shared" si="12"/>
        <v/>
      </c>
      <c r="BZ16" s="22"/>
      <c r="CA16" s="22"/>
      <c r="CB16" s="29" t="str">
        <f t="shared" si="44"/>
        <v/>
      </c>
      <c r="CC16" s="22"/>
      <c r="CD16" s="22"/>
      <c r="CE16" s="29" t="str">
        <f t="shared" si="45"/>
        <v/>
      </c>
      <c r="CF16" s="22"/>
      <c r="CG16" s="22"/>
      <c r="CH16" s="22"/>
      <c r="CI16" s="29" t="str">
        <f t="shared" si="13"/>
        <v/>
      </c>
      <c r="CJ16" s="22"/>
      <c r="CK16" s="22"/>
      <c r="CL16" s="22"/>
      <c r="CM16" s="29" t="str">
        <f t="shared" si="14"/>
        <v/>
      </c>
      <c r="CN16" s="22"/>
      <c r="CO16" s="22"/>
      <c r="CP16" s="22"/>
      <c r="CQ16" s="29" t="str">
        <f t="shared" si="15"/>
        <v/>
      </c>
      <c r="CR16" s="22"/>
      <c r="CS16" s="22"/>
      <c r="CT16" s="29" t="str">
        <f t="shared" si="16"/>
        <v/>
      </c>
      <c r="CU16" s="22"/>
      <c r="CV16" s="22"/>
      <c r="CW16" s="22"/>
      <c r="CX16" s="29" t="str">
        <f t="shared" si="17"/>
        <v/>
      </c>
      <c r="CY16" s="22"/>
      <c r="CZ16" s="22"/>
      <c r="DA16" s="22"/>
      <c r="DB16" s="29" t="str">
        <f t="shared" si="18"/>
        <v/>
      </c>
      <c r="DC16" s="22"/>
      <c r="DD16" s="22"/>
      <c r="DE16" s="29" t="str">
        <f t="shared" si="46"/>
        <v/>
      </c>
      <c r="DF16" s="22"/>
      <c r="DG16" s="22"/>
      <c r="DH16" s="22"/>
      <c r="DI16" s="29" t="str">
        <f t="shared" si="19"/>
        <v/>
      </c>
      <c r="DJ16" s="22"/>
      <c r="DK16" s="22"/>
      <c r="DL16" s="22"/>
      <c r="DM16" s="29" t="str">
        <f t="shared" si="50"/>
        <v/>
      </c>
      <c r="DN16" s="22"/>
      <c r="DO16" s="22"/>
      <c r="DP16" s="22"/>
      <c r="DQ16" s="29" t="str">
        <f t="shared" si="51"/>
        <v/>
      </c>
      <c r="DR16" s="22"/>
      <c r="DS16" s="22"/>
      <c r="DT16" s="22"/>
      <c r="DU16" s="29" t="str">
        <f t="shared" si="52"/>
        <v/>
      </c>
      <c r="DV16" s="22"/>
      <c r="DW16" s="22"/>
      <c r="DX16" s="22"/>
      <c r="DY16" s="29" t="str">
        <f t="shared" si="22"/>
        <v/>
      </c>
      <c r="DZ16" s="22"/>
      <c r="EA16" s="22"/>
      <c r="EB16" s="22"/>
      <c r="EC16" s="29" t="str">
        <f t="shared" si="23"/>
        <v/>
      </c>
      <c r="ED16" s="22"/>
      <c r="EE16" s="22"/>
      <c r="EF16" s="22"/>
      <c r="EG16" s="29" t="str">
        <f t="shared" si="24"/>
        <v/>
      </c>
      <c r="EH16" s="22"/>
      <c r="EI16" s="22"/>
      <c r="EJ16" s="22"/>
      <c r="EK16" s="29" t="str">
        <f t="shared" si="25"/>
        <v/>
      </c>
      <c r="EL16" s="22"/>
      <c r="EM16" s="22"/>
      <c r="EN16" s="22"/>
      <c r="EO16" s="29" t="str">
        <f t="shared" si="26"/>
        <v/>
      </c>
      <c r="EP16" s="22"/>
      <c r="EQ16" s="22"/>
      <c r="ER16" s="22"/>
      <c r="ES16" s="29" t="str">
        <f t="shared" si="27"/>
        <v/>
      </c>
      <c r="ET16" s="22"/>
      <c r="EU16" s="22"/>
      <c r="EV16" s="22"/>
      <c r="EW16" s="29" t="str">
        <f t="shared" si="28"/>
        <v/>
      </c>
      <c r="EX16" s="22"/>
      <c r="EY16" s="22"/>
      <c r="EZ16" s="22"/>
      <c r="FA16" s="29" t="str">
        <f t="shared" si="29"/>
        <v/>
      </c>
      <c r="FB16" s="22"/>
      <c r="FC16" s="22"/>
      <c r="FD16" s="22"/>
      <c r="FE16" s="29" t="str">
        <f t="shared" si="30"/>
        <v/>
      </c>
      <c r="FF16" s="22"/>
      <c r="FG16" s="22"/>
      <c r="FH16" s="22"/>
      <c r="FI16" s="29" t="str">
        <f t="shared" si="31"/>
        <v/>
      </c>
      <c r="FJ16" s="22"/>
      <c r="FK16" s="22"/>
      <c r="FL16" s="22"/>
      <c r="FM16" s="29" t="str">
        <f t="shared" si="32"/>
        <v/>
      </c>
      <c r="FN16" s="22"/>
      <c r="FO16" s="22"/>
      <c r="FP16" s="22"/>
      <c r="FQ16" s="29" t="str">
        <f t="shared" si="33"/>
        <v/>
      </c>
      <c r="FR16" s="22"/>
      <c r="FS16" s="22"/>
      <c r="FT16" s="22"/>
    </row>
    <row r="17" spans="1:176" x14ac:dyDescent="0.2">
      <c r="A17" s="30" t="str">
        <f t="shared" si="34"/>
        <v xml:space="preserve"> </v>
      </c>
      <c r="B17" s="23"/>
      <c r="C17" s="23"/>
      <c r="D17" s="23"/>
      <c r="E17" s="22"/>
      <c r="F17" s="22"/>
      <c r="G17" s="22"/>
      <c r="H17" s="29" t="str">
        <f t="shared" si="49"/>
        <v/>
      </c>
      <c r="I17" s="22"/>
      <c r="J17" s="22"/>
      <c r="K17" s="22"/>
      <c r="L17" s="29" t="str">
        <f t="shared" si="36"/>
        <v/>
      </c>
      <c r="M17" s="22"/>
      <c r="N17" s="22"/>
      <c r="O17" s="22"/>
      <c r="P17" s="29" t="str">
        <f t="shared" si="37"/>
        <v/>
      </c>
      <c r="Q17" s="22"/>
      <c r="R17" s="32" t="str">
        <f t="shared" si="38"/>
        <v/>
      </c>
      <c r="S17" s="24"/>
      <c r="T17" s="22"/>
      <c r="U17" s="32" t="str">
        <f t="shared" si="39"/>
        <v/>
      </c>
      <c r="V17" s="22"/>
      <c r="W17" s="22"/>
      <c r="X17" s="22"/>
      <c r="Y17" s="32" t="str">
        <f t="shared" si="40"/>
        <v/>
      </c>
      <c r="Z17" s="22"/>
      <c r="AA17" s="22"/>
      <c r="AB17" s="22"/>
      <c r="AC17" s="29" t="str">
        <f t="shared" si="3"/>
        <v/>
      </c>
      <c r="AD17" s="22"/>
      <c r="AE17" s="22"/>
      <c r="AF17" s="22"/>
      <c r="AG17" s="29" t="str">
        <f t="shared" si="4"/>
        <v/>
      </c>
      <c r="AH17" s="22"/>
      <c r="AI17" s="22"/>
      <c r="AJ17" s="22"/>
      <c r="AK17" s="29" t="str">
        <f t="shared" si="5"/>
        <v/>
      </c>
      <c r="AL17" s="22"/>
      <c r="AM17" s="22"/>
      <c r="AN17" s="22"/>
      <c r="AO17" s="29" t="str">
        <f t="shared" si="6"/>
        <v/>
      </c>
      <c r="AP17" s="22"/>
      <c r="AQ17" s="22"/>
      <c r="AR17" s="22"/>
      <c r="AS17" s="29" t="str">
        <f t="shared" si="7"/>
        <v/>
      </c>
      <c r="AT17" s="22"/>
      <c r="AU17" s="22"/>
      <c r="AV17" s="22"/>
      <c r="AW17" s="29" t="str">
        <f t="shared" si="41"/>
        <v/>
      </c>
      <c r="AX17" s="24"/>
      <c r="AY17" s="22"/>
      <c r="AZ17" s="22"/>
      <c r="BA17" s="29" t="str">
        <f t="shared" si="42"/>
        <v/>
      </c>
      <c r="BB17" s="22"/>
      <c r="BC17" s="22"/>
      <c r="BD17" s="22"/>
      <c r="BE17" s="29" t="str">
        <f t="shared" si="8"/>
        <v/>
      </c>
      <c r="BF17" s="22"/>
      <c r="BG17" s="22"/>
      <c r="BH17" s="22"/>
      <c r="BI17" s="29" t="str">
        <f t="shared" si="9"/>
        <v/>
      </c>
      <c r="BJ17" s="22"/>
      <c r="BK17" s="22"/>
      <c r="BL17" s="22"/>
      <c r="BM17" s="29" t="str">
        <f t="shared" si="43"/>
        <v/>
      </c>
      <c r="BN17" s="22"/>
      <c r="BO17" s="22"/>
      <c r="BP17" s="22"/>
      <c r="BQ17" s="29" t="str">
        <f t="shared" si="10"/>
        <v/>
      </c>
      <c r="BR17" s="22"/>
      <c r="BS17" s="22"/>
      <c r="BT17" s="22"/>
      <c r="BU17" s="29" t="str">
        <f t="shared" si="11"/>
        <v/>
      </c>
      <c r="BV17" s="22"/>
      <c r="BW17" s="22"/>
      <c r="BX17" s="22"/>
      <c r="BY17" s="29" t="str">
        <f t="shared" si="12"/>
        <v/>
      </c>
      <c r="BZ17" s="22"/>
      <c r="CA17" s="22"/>
      <c r="CB17" s="29" t="str">
        <f t="shared" si="44"/>
        <v/>
      </c>
      <c r="CC17" s="22"/>
      <c r="CD17" s="22"/>
      <c r="CE17" s="29" t="str">
        <f t="shared" si="45"/>
        <v/>
      </c>
      <c r="CF17" s="22"/>
      <c r="CG17" s="22"/>
      <c r="CH17" s="22"/>
      <c r="CI17" s="29" t="str">
        <f t="shared" si="13"/>
        <v/>
      </c>
      <c r="CJ17" s="22"/>
      <c r="CK17" s="22"/>
      <c r="CL17" s="22"/>
      <c r="CM17" s="29" t="str">
        <f t="shared" si="14"/>
        <v/>
      </c>
      <c r="CN17" s="22"/>
      <c r="CO17" s="22"/>
      <c r="CP17" s="22"/>
      <c r="CQ17" s="29" t="str">
        <f t="shared" si="15"/>
        <v/>
      </c>
      <c r="CR17" s="22"/>
      <c r="CS17" s="22"/>
      <c r="CT17" s="29" t="str">
        <f t="shared" si="16"/>
        <v/>
      </c>
      <c r="CU17" s="22"/>
      <c r="CV17" s="22"/>
      <c r="CW17" s="22"/>
      <c r="CX17" s="29" t="str">
        <f t="shared" si="17"/>
        <v/>
      </c>
      <c r="CY17" s="22"/>
      <c r="CZ17" s="22"/>
      <c r="DA17" s="22"/>
      <c r="DB17" s="29" t="str">
        <f t="shared" si="18"/>
        <v/>
      </c>
      <c r="DC17" s="22"/>
      <c r="DD17" s="22"/>
      <c r="DE17" s="29" t="str">
        <f t="shared" si="46"/>
        <v/>
      </c>
      <c r="DF17" s="22"/>
      <c r="DG17" s="22"/>
      <c r="DH17" s="22"/>
      <c r="DI17" s="29" t="str">
        <f t="shared" si="19"/>
        <v/>
      </c>
      <c r="DJ17" s="22"/>
      <c r="DK17" s="22"/>
      <c r="DL17" s="22"/>
      <c r="DM17" s="29" t="str">
        <f t="shared" si="50"/>
        <v/>
      </c>
      <c r="DN17" s="22"/>
      <c r="DO17" s="22"/>
      <c r="DP17" s="22"/>
      <c r="DQ17" s="29" t="str">
        <f t="shared" si="51"/>
        <v/>
      </c>
      <c r="DR17" s="22"/>
      <c r="DS17" s="22"/>
      <c r="DT17" s="22"/>
      <c r="DU17" s="29" t="str">
        <f t="shared" si="52"/>
        <v/>
      </c>
      <c r="DV17" s="22"/>
      <c r="DW17" s="22"/>
      <c r="DX17" s="22"/>
      <c r="DY17" s="29" t="str">
        <f t="shared" si="22"/>
        <v/>
      </c>
      <c r="DZ17" s="22"/>
      <c r="EA17" s="22"/>
      <c r="EB17" s="22"/>
      <c r="EC17" s="29" t="str">
        <f t="shared" si="23"/>
        <v/>
      </c>
      <c r="ED17" s="22"/>
      <c r="EE17" s="22"/>
      <c r="EF17" s="22"/>
      <c r="EG17" s="29" t="str">
        <f t="shared" si="24"/>
        <v/>
      </c>
      <c r="EH17" s="22"/>
      <c r="EI17" s="22"/>
      <c r="EJ17" s="22"/>
      <c r="EK17" s="29" t="str">
        <f t="shared" si="25"/>
        <v/>
      </c>
      <c r="EL17" s="22"/>
      <c r="EM17" s="22"/>
      <c r="EN17" s="22"/>
      <c r="EO17" s="29" t="str">
        <f t="shared" si="26"/>
        <v/>
      </c>
      <c r="EP17" s="22"/>
      <c r="EQ17" s="22"/>
      <c r="ER17" s="22"/>
      <c r="ES17" s="29" t="str">
        <f t="shared" si="27"/>
        <v/>
      </c>
      <c r="ET17" s="22"/>
      <c r="EU17" s="22"/>
      <c r="EV17" s="22"/>
      <c r="EW17" s="29" t="str">
        <f t="shared" si="28"/>
        <v/>
      </c>
      <c r="EX17" s="22"/>
      <c r="EY17" s="22"/>
      <c r="EZ17" s="22"/>
      <c r="FA17" s="29" t="str">
        <f t="shared" si="29"/>
        <v/>
      </c>
      <c r="FB17" s="22"/>
      <c r="FC17" s="22"/>
      <c r="FD17" s="22"/>
      <c r="FE17" s="29" t="str">
        <f t="shared" si="30"/>
        <v/>
      </c>
      <c r="FF17" s="22"/>
      <c r="FG17" s="22"/>
      <c r="FH17" s="22"/>
      <c r="FI17" s="29" t="str">
        <f t="shared" si="31"/>
        <v/>
      </c>
      <c r="FJ17" s="22"/>
      <c r="FK17" s="22"/>
      <c r="FL17" s="22"/>
      <c r="FM17" s="29" t="str">
        <f t="shared" si="32"/>
        <v/>
      </c>
      <c r="FN17" s="22"/>
      <c r="FO17" s="22"/>
      <c r="FP17" s="22"/>
      <c r="FQ17" s="29" t="str">
        <f t="shared" si="33"/>
        <v/>
      </c>
      <c r="FR17" s="22"/>
      <c r="FS17" s="22"/>
      <c r="FT17" s="22"/>
    </row>
    <row r="18" spans="1:176" x14ac:dyDescent="0.2">
      <c r="A18" s="30" t="str">
        <f t="shared" si="34"/>
        <v xml:space="preserve"> </v>
      </c>
      <c r="B18" s="23"/>
      <c r="C18" s="23"/>
      <c r="D18" s="23"/>
      <c r="E18" s="22"/>
      <c r="F18" s="22"/>
      <c r="G18" s="22"/>
      <c r="H18" s="29" t="str">
        <f t="shared" si="49"/>
        <v/>
      </c>
      <c r="I18" s="22"/>
      <c r="J18" s="22"/>
      <c r="K18" s="22"/>
      <c r="L18" s="29" t="str">
        <f t="shared" si="36"/>
        <v/>
      </c>
      <c r="M18" s="22"/>
      <c r="N18" s="22"/>
      <c r="O18" s="22"/>
      <c r="P18" s="29" t="str">
        <f t="shared" si="37"/>
        <v/>
      </c>
      <c r="Q18" s="22"/>
      <c r="R18" s="32" t="str">
        <f t="shared" si="38"/>
        <v/>
      </c>
      <c r="S18" s="24"/>
      <c r="T18" s="22"/>
      <c r="U18" s="32" t="str">
        <f t="shared" si="39"/>
        <v/>
      </c>
      <c r="V18" s="22"/>
      <c r="W18" s="22"/>
      <c r="X18" s="22"/>
      <c r="Y18" s="32" t="str">
        <f t="shared" si="40"/>
        <v/>
      </c>
      <c r="Z18" s="22"/>
      <c r="AA18" s="22"/>
      <c r="AB18" s="22"/>
      <c r="AC18" s="29" t="str">
        <f t="shared" si="3"/>
        <v/>
      </c>
      <c r="AD18" s="22"/>
      <c r="AE18" s="22"/>
      <c r="AF18" s="22"/>
      <c r="AG18" s="29" t="str">
        <f t="shared" si="4"/>
        <v/>
      </c>
      <c r="AH18" s="22"/>
      <c r="AI18" s="22"/>
      <c r="AJ18" s="22"/>
      <c r="AK18" s="29" t="str">
        <f t="shared" si="5"/>
        <v/>
      </c>
      <c r="AL18" s="22"/>
      <c r="AM18" s="22"/>
      <c r="AN18" s="22"/>
      <c r="AO18" s="29" t="str">
        <f t="shared" si="6"/>
        <v/>
      </c>
      <c r="AP18" s="22"/>
      <c r="AQ18" s="22"/>
      <c r="AR18" s="22"/>
      <c r="AS18" s="29" t="str">
        <f t="shared" si="7"/>
        <v/>
      </c>
      <c r="AT18" s="22"/>
      <c r="AU18" s="22"/>
      <c r="AV18" s="22"/>
      <c r="AW18" s="29" t="str">
        <f t="shared" si="41"/>
        <v/>
      </c>
      <c r="AX18" s="24"/>
      <c r="AY18" s="22"/>
      <c r="AZ18" s="22"/>
      <c r="BA18" s="29" t="str">
        <f t="shared" si="42"/>
        <v/>
      </c>
      <c r="BB18" s="22"/>
      <c r="BC18" s="22"/>
      <c r="BD18" s="22"/>
      <c r="BE18" s="29" t="str">
        <f t="shared" si="8"/>
        <v/>
      </c>
      <c r="BF18" s="22"/>
      <c r="BG18" s="22"/>
      <c r="BH18" s="22"/>
      <c r="BI18" s="29" t="str">
        <f t="shared" si="9"/>
        <v/>
      </c>
      <c r="BJ18" s="22"/>
      <c r="BK18" s="22"/>
      <c r="BL18" s="22"/>
      <c r="BM18" s="29" t="str">
        <f t="shared" si="43"/>
        <v/>
      </c>
      <c r="BN18" s="22"/>
      <c r="BO18" s="22"/>
      <c r="BP18" s="22"/>
      <c r="BQ18" s="29" t="str">
        <f t="shared" si="10"/>
        <v/>
      </c>
      <c r="BR18" s="22"/>
      <c r="BS18" s="22"/>
      <c r="BT18" s="22"/>
      <c r="BU18" s="29" t="str">
        <f t="shared" si="11"/>
        <v/>
      </c>
      <c r="BV18" s="22"/>
      <c r="BW18" s="22"/>
      <c r="BX18" s="22"/>
      <c r="BY18" s="29" t="str">
        <f t="shared" si="12"/>
        <v/>
      </c>
      <c r="BZ18" s="22"/>
      <c r="CA18" s="22"/>
      <c r="CB18" s="29" t="str">
        <f t="shared" si="44"/>
        <v/>
      </c>
      <c r="CC18" s="22"/>
      <c r="CD18" s="22"/>
      <c r="CE18" s="29" t="str">
        <f t="shared" si="45"/>
        <v/>
      </c>
      <c r="CF18" s="22"/>
      <c r="CG18" s="22"/>
      <c r="CH18" s="22"/>
      <c r="CI18" s="29" t="str">
        <f t="shared" si="13"/>
        <v/>
      </c>
      <c r="CJ18" s="22"/>
      <c r="CK18" s="22"/>
      <c r="CL18" s="22"/>
      <c r="CM18" s="29" t="str">
        <f t="shared" si="14"/>
        <v/>
      </c>
      <c r="CN18" s="22"/>
      <c r="CO18" s="22"/>
      <c r="CP18" s="22"/>
      <c r="CQ18" s="29" t="str">
        <f t="shared" si="15"/>
        <v/>
      </c>
      <c r="CR18" s="22"/>
      <c r="CS18" s="22"/>
      <c r="CT18" s="29" t="str">
        <f t="shared" si="16"/>
        <v/>
      </c>
      <c r="CU18" s="22"/>
      <c r="CV18" s="22"/>
      <c r="CW18" s="22"/>
      <c r="CX18" s="29" t="str">
        <f t="shared" si="17"/>
        <v/>
      </c>
      <c r="CY18" s="22"/>
      <c r="CZ18" s="22"/>
      <c r="DA18" s="22"/>
      <c r="DB18" s="29" t="str">
        <f t="shared" si="18"/>
        <v/>
      </c>
      <c r="DC18" s="22"/>
      <c r="DD18" s="22"/>
      <c r="DE18" s="29" t="str">
        <f t="shared" si="46"/>
        <v/>
      </c>
      <c r="DF18" s="22"/>
      <c r="DG18" s="22"/>
      <c r="DH18" s="22"/>
      <c r="DI18" s="29" t="str">
        <f t="shared" si="19"/>
        <v/>
      </c>
      <c r="DJ18" s="22"/>
      <c r="DK18" s="22"/>
      <c r="DL18" s="22"/>
      <c r="DM18" s="29" t="str">
        <f t="shared" si="50"/>
        <v/>
      </c>
      <c r="DN18" s="22"/>
      <c r="DO18" s="22"/>
      <c r="DP18" s="22"/>
      <c r="DQ18" s="29" t="str">
        <f t="shared" si="51"/>
        <v/>
      </c>
      <c r="DR18" s="22"/>
      <c r="DS18" s="22"/>
      <c r="DT18" s="22"/>
      <c r="DU18" s="29" t="str">
        <f t="shared" si="52"/>
        <v/>
      </c>
      <c r="DV18" s="22"/>
      <c r="DW18" s="22"/>
      <c r="DX18" s="22"/>
      <c r="DY18" s="29" t="str">
        <f t="shared" si="22"/>
        <v/>
      </c>
      <c r="DZ18" s="22"/>
      <c r="EA18" s="22"/>
      <c r="EB18" s="22"/>
      <c r="EC18" s="29" t="str">
        <f t="shared" si="23"/>
        <v/>
      </c>
      <c r="ED18" s="22"/>
      <c r="EE18" s="22"/>
      <c r="EF18" s="22"/>
      <c r="EG18" s="29" t="str">
        <f t="shared" si="24"/>
        <v/>
      </c>
      <c r="EH18" s="22"/>
      <c r="EI18" s="22"/>
      <c r="EJ18" s="22"/>
      <c r="EK18" s="29" t="str">
        <f t="shared" si="25"/>
        <v/>
      </c>
      <c r="EL18" s="22"/>
      <c r="EM18" s="22"/>
      <c r="EN18" s="22"/>
      <c r="EO18" s="29" t="str">
        <f t="shared" si="26"/>
        <v/>
      </c>
      <c r="EP18" s="22"/>
      <c r="EQ18" s="22"/>
      <c r="ER18" s="22"/>
      <c r="ES18" s="29" t="str">
        <f t="shared" si="27"/>
        <v/>
      </c>
      <c r="ET18" s="22"/>
      <c r="EU18" s="22"/>
      <c r="EV18" s="22"/>
      <c r="EW18" s="29" t="str">
        <f t="shared" si="28"/>
        <v/>
      </c>
      <c r="EX18" s="22"/>
      <c r="EY18" s="22"/>
      <c r="EZ18" s="22"/>
      <c r="FA18" s="29" t="str">
        <f t="shared" si="29"/>
        <v/>
      </c>
      <c r="FB18" s="22"/>
      <c r="FC18" s="22"/>
      <c r="FD18" s="22"/>
      <c r="FE18" s="29" t="str">
        <f t="shared" si="30"/>
        <v/>
      </c>
      <c r="FF18" s="22"/>
      <c r="FG18" s="22"/>
      <c r="FH18" s="22"/>
      <c r="FI18" s="29" t="str">
        <f t="shared" si="31"/>
        <v/>
      </c>
      <c r="FJ18" s="22"/>
      <c r="FK18" s="22"/>
      <c r="FL18" s="22"/>
      <c r="FM18" s="29" t="str">
        <f t="shared" si="32"/>
        <v/>
      </c>
      <c r="FN18" s="22"/>
      <c r="FO18" s="22"/>
      <c r="FP18" s="22"/>
      <c r="FQ18" s="29" t="str">
        <f t="shared" si="33"/>
        <v/>
      </c>
      <c r="FR18" s="22"/>
      <c r="FS18" s="22"/>
      <c r="FT18" s="22"/>
    </row>
    <row r="19" spans="1:176" x14ac:dyDescent="0.2">
      <c r="A19" s="30" t="str">
        <f t="shared" si="34"/>
        <v xml:space="preserve"> </v>
      </c>
      <c r="B19" s="23"/>
      <c r="C19" s="23"/>
      <c r="D19" s="23"/>
      <c r="E19" s="22"/>
      <c r="F19" s="22"/>
      <c r="G19" s="22"/>
      <c r="H19" s="29" t="str">
        <f t="shared" si="49"/>
        <v/>
      </c>
      <c r="I19" s="22"/>
      <c r="J19" s="22"/>
      <c r="K19" s="22"/>
      <c r="L19" s="29" t="str">
        <f t="shared" si="36"/>
        <v/>
      </c>
      <c r="M19" s="22"/>
      <c r="N19" s="22"/>
      <c r="O19" s="22"/>
      <c r="P19" s="29" t="str">
        <f t="shared" si="37"/>
        <v/>
      </c>
      <c r="Q19" s="22"/>
      <c r="R19" s="32" t="str">
        <f t="shared" si="38"/>
        <v/>
      </c>
      <c r="S19" s="24"/>
      <c r="T19" s="22"/>
      <c r="U19" s="32" t="str">
        <f t="shared" si="39"/>
        <v/>
      </c>
      <c r="V19" s="22"/>
      <c r="W19" s="22"/>
      <c r="X19" s="22"/>
      <c r="Y19" s="32" t="str">
        <f t="shared" si="40"/>
        <v/>
      </c>
      <c r="Z19" s="22"/>
      <c r="AA19" s="22"/>
      <c r="AB19" s="22"/>
      <c r="AC19" s="29" t="str">
        <f t="shared" ref="AC19:AC43" si="53">IF(AND(Z19=0, AA19=0),"",(Z19*100/AA19))</f>
        <v/>
      </c>
      <c r="AD19" s="22"/>
      <c r="AE19" s="22"/>
      <c r="AF19" s="22"/>
      <c r="AG19" s="29" t="str">
        <f t="shared" ref="AG19:AG43" si="54">IF(AND(AD19=0, AE19=0),"",(AD19/AE19))</f>
        <v/>
      </c>
      <c r="AH19" s="22"/>
      <c r="AI19" s="22"/>
      <c r="AJ19" s="22"/>
      <c r="AK19" s="29" t="str">
        <f t="shared" ref="AK19:AK43" si="55">IF(AND(AH19=0, AI19=0),"",(AH19/AI19))</f>
        <v/>
      </c>
      <c r="AL19" s="22"/>
      <c r="AM19" s="22"/>
      <c r="AN19" s="22"/>
      <c r="AO19" s="29" t="str">
        <f t="shared" si="6"/>
        <v/>
      </c>
      <c r="AP19" s="22"/>
      <c r="AQ19" s="22"/>
      <c r="AR19" s="22"/>
      <c r="AS19" s="29" t="str">
        <f t="shared" si="7"/>
        <v/>
      </c>
      <c r="AT19" s="22"/>
      <c r="AU19" s="22"/>
      <c r="AV19" s="22"/>
      <c r="AW19" s="29" t="str">
        <f t="shared" si="41"/>
        <v/>
      </c>
      <c r="AX19" s="24"/>
      <c r="AY19" s="22"/>
      <c r="AZ19" s="22"/>
      <c r="BA19" s="29" t="str">
        <f t="shared" si="42"/>
        <v/>
      </c>
      <c r="BB19" s="22"/>
      <c r="BC19" s="22"/>
      <c r="BD19" s="22"/>
      <c r="BE19" s="29" t="str">
        <f t="shared" ref="BE19:BE43" si="56">IF(AND(BB19=0, BC19=0),"",(BB19/(BB19+BC19))*100)</f>
        <v/>
      </c>
      <c r="BF19" s="22"/>
      <c r="BG19" s="22"/>
      <c r="BH19" s="22"/>
      <c r="BI19" s="29" t="str">
        <f t="shared" ref="BI19:BI43" si="57">IF(AND(BF19=0, BG19=0),"",(BF19/BG19)*100)</f>
        <v/>
      </c>
      <c r="BJ19" s="22"/>
      <c r="BK19" s="22"/>
      <c r="BL19" s="22"/>
      <c r="BM19" s="29" t="str">
        <f t="shared" ref="BM19:BM43" si="58">IF(AND(BJ19=0, BK19=0),"",(BJ19/BK19)*100)</f>
        <v/>
      </c>
      <c r="BN19" s="22"/>
      <c r="BO19" s="22"/>
      <c r="BP19" s="22"/>
      <c r="BQ19" s="29" t="str">
        <f t="shared" ref="BQ19:BQ43" si="59">IF(AND(BN19=0,BO19=0),"",(BN19/BO19)*100)</f>
        <v/>
      </c>
      <c r="BR19" s="22"/>
      <c r="BS19" s="22"/>
      <c r="BT19" s="22"/>
      <c r="BU19" s="29" t="str">
        <f t="shared" ref="BU19:BU43" si="60">IF(AND(BR19=0, BS19=0),"",(BR19/(BR19+BS19))*100)</f>
        <v/>
      </c>
      <c r="BV19" s="22"/>
      <c r="BW19" s="22"/>
      <c r="BX19" s="22"/>
      <c r="BY19" s="29" t="str">
        <f t="shared" si="12"/>
        <v/>
      </c>
      <c r="BZ19" s="22"/>
      <c r="CA19" s="22"/>
      <c r="CB19" s="29" t="str">
        <f t="shared" ref="CB19:CB43" si="61">IF(AND(BZ19=0,F19=0),"",(BZ19/F19))</f>
        <v/>
      </c>
      <c r="CC19" s="22"/>
      <c r="CD19" s="22"/>
      <c r="CE19" s="29" t="str">
        <f t="shared" ref="CE19:CE43" si="62">IF(AND(CC19=0,J19=0),"",(CC19/J19))</f>
        <v/>
      </c>
      <c r="CF19" s="22"/>
      <c r="CG19" s="22"/>
      <c r="CH19" s="22"/>
      <c r="CI19" s="29" t="str">
        <f t="shared" ref="CI19:CI43" si="63">IF(AND(CF19=0,CG19=0),"",(CF19/CG19))</f>
        <v/>
      </c>
      <c r="CJ19" s="22"/>
      <c r="CK19" s="22"/>
      <c r="CL19" s="22"/>
      <c r="CM19" s="29" t="str">
        <f t="shared" ref="CM19:CM43" si="64">IF(AND(CJ19=0,CK19=0),"",(CJ19/CK19))</f>
        <v/>
      </c>
      <c r="CN19" s="22"/>
      <c r="CO19" s="22"/>
      <c r="CP19" s="22"/>
      <c r="CQ19" s="29" t="str">
        <f t="shared" ref="CQ19:CQ43" si="65">IF(AND(CN19=0,CO19=0),"",(CN19/CO19))</f>
        <v/>
      </c>
      <c r="CR19" s="22"/>
      <c r="CS19" s="22"/>
      <c r="CT19" s="29" t="str">
        <f t="shared" si="16"/>
        <v/>
      </c>
      <c r="CU19" s="22"/>
      <c r="CV19" s="22"/>
      <c r="CW19" s="22"/>
      <c r="CX19" s="29" t="str">
        <f t="shared" ref="CX19:CX43" si="66">IF(AND(CU19=0,CV19=0),"",(CU19/CV19))</f>
        <v/>
      </c>
      <c r="CY19" s="22"/>
      <c r="CZ19" s="22"/>
      <c r="DA19" s="22"/>
      <c r="DB19" s="29" t="str">
        <f t="shared" ref="DB19:DB43" si="67">IF(AND(CY19=0,CZ19=0),"",(CY19/CZ19))</f>
        <v/>
      </c>
      <c r="DC19" s="22"/>
      <c r="DD19" s="22"/>
      <c r="DE19" s="29" t="str">
        <f t="shared" si="46"/>
        <v/>
      </c>
      <c r="DF19" s="22"/>
      <c r="DG19" s="22"/>
      <c r="DH19" s="22"/>
      <c r="DI19" s="29" t="str">
        <f t="shared" ref="DI19:DI43" si="68">IF(AND(DF19=0,DG19=0),"",(DF19/DG19))</f>
        <v/>
      </c>
      <c r="DJ19" s="22"/>
      <c r="DK19" s="22"/>
      <c r="DL19" s="22"/>
      <c r="DM19" s="29" t="str">
        <f t="shared" si="50"/>
        <v/>
      </c>
      <c r="DN19" s="22"/>
      <c r="DO19" s="22"/>
      <c r="DP19" s="22"/>
      <c r="DQ19" s="29" t="str">
        <f t="shared" si="51"/>
        <v/>
      </c>
      <c r="DR19" s="22"/>
      <c r="DS19" s="22"/>
      <c r="DT19" s="22"/>
      <c r="DU19" s="29" t="str">
        <f t="shared" si="52"/>
        <v/>
      </c>
      <c r="DV19" s="22"/>
      <c r="DW19" s="22"/>
      <c r="DX19" s="22"/>
      <c r="DY19" s="29" t="str">
        <f t="shared" si="22"/>
        <v/>
      </c>
      <c r="DZ19" s="22"/>
      <c r="EA19" s="22"/>
      <c r="EB19" s="22"/>
      <c r="EC19" s="29" t="str">
        <f t="shared" si="23"/>
        <v/>
      </c>
      <c r="ED19" s="22"/>
      <c r="EE19" s="22"/>
      <c r="EF19" s="22"/>
      <c r="EG19" s="29" t="str">
        <f t="shared" si="24"/>
        <v/>
      </c>
      <c r="EH19" s="22"/>
      <c r="EI19" s="22"/>
      <c r="EJ19" s="22"/>
      <c r="EK19" s="29" t="str">
        <f t="shared" si="25"/>
        <v/>
      </c>
      <c r="EL19" s="22"/>
      <c r="EM19" s="22"/>
      <c r="EN19" s="22"/>
      <c r="EO19" s="29" t="str">
        <f t="shared" si="26"/>
        <v/>
      </c>
      <c r="EP19" s="22"/>
      <c r="EQ19" s="22"/>
      <c r="ER19" s="22"/>
      <c r="ES19" s="29" t="str">
        <f t="shared" si="27"/>
        <v/>
      </c>
      <c r="ET19" s="22"/>
      <c r="EU19" s="22"/>
      <c r="EV19" s="22"/>
      <c r="EW19" s="29" t="str">
        <f t="shared" si="28"/>
        <v/>
      </c>
      <c r="EX19" s="22"/>
      <c r="EY19" s="22"/>
      <c r="EZ19" s="22"/>
      <c r="FA19" s="29" t="str">
        <f t="shared" si="29"/>
        <v/>
      </c>
      <c r="FB19" s="22"/>
      <c r="FC19" s="22"/>
      <c r="FD19" s="22"/>
      <c r="FE19" s="29" t="str">
        <f t="shared" si="30"/>
        <v/>
      </c>
      <c r="FF19" s="22"/>
      <c r="FG19" s="22"/>
      <c r="FH19" s="22"/>
      <c r="FI19" s="29" t="str">
        <f t="shared" si="31"/>
        <v/>
      </c>
      <c r="FJ19" s="22"/>
      <c r="FK19" s="22"/>
      <c r="FL19" s="22"/>
      <c r="FM19" s="29" t="str">
        <f t="shared" si="32"/>
        <v/>
      </c>
      <c r="FN19" s="22"/>
      <c r="FO19" s="22"/>
      <c r="FP19" s="22"/>
      <c r="FQ19" s="29" t="str">
        <f t="shared" si="33"/>
        <v/>
      </c>
      <c r="FR19" s="22"/>
      <c r="FS19" s="22"/>
      <c r="FT19" s="22"/>
    </row>
    <row r="20" spans="1:176" x14ac:dyDescent="0.2">
      <c r="A20" s="30" t="str">
        <f t="shared" si="34"/>
        <v xml:space="preserve"> </v>
      </c>
      <c r="B20" s="23"/>
      <c r="C20" s="23"/>
      <c r="D20" s="23"/>
      <c r="E20" s="22"/>
      <c r="F20" s="22"/>
      <c r="G20" s="22"/>
      <c r="H20" s="29" t="str">
        <f t="shared" ref="H20:H43" si="69">IF(AND(E20=0,F20=0),"",(E20/F20))</f>
        <v/>
      </c>
      <c r="I20" s="22"/>
      <c r="J20" s="22"/>
      <c r="K20" s="22"/>
      <c r="L20" s="29" t="str">
        <f t="shared" ref="L20:L43" si="70">IF(AND(I20=0,J20=0),"",(I20/J20))</f>
        <v/>
      </c>
      <c r="M20" s="22"/>
      <c r="N20" s="22"/>
      <c r="O20" s="22"/>
      <c r="P20" s="29" t="str">
        <f t="shared" ref="P20:P43" si="71">IF(AND(M20=0,N20=0),"",(M20/N20))</f>
        <v/>
      </c>
      <c r="Q20" s="22"/>
      <c r="R20" s="32" t="str">
        <f t="shared" ref="R20:R43" si="72">IF(AND(M20=0,N20=0),"",(M20/N20))</f>
        <v/>
      </c>
      <c r="S20" s="24"/>
      <c r="T20" s="22"/>
      <c r="U20" s="32" t="str">
        <f t="shared" ref="U20:U43" si="73">IF(AND(N20=0, S20=0),"",(S20/N20))</f>
        <v/>
      </c>
      <c r="V20" s="22"/>
      <c r="W20" s="22"/>
      <c r="X20" s="22"/>
      <c r="Y20" s="32" t="str">
        <f t="shared" ref="Y20:Y43" si="74">IF(AND(V20=0, W20=0),"",(V20/W20)*100)</f>
        <v/>
      </c>
      <c r="Z20" s="22"/>
      <c r="AA20" s="22"/>
      <c r="AB20" s="22"/>
      <c r="AC20" s="29" t="str">
        <f t="shared" si="53"/>
        <v/>
      </c>
      <c r="AD20" s="22"/>
      <c r="AE20" s="22"/>
      <c r="AF20" s="22"/>
      <c r="AG20" s="29" t="str">
        <f t="shared" si="54"/>
        <v/>
      </c>
      <c r="AH20" s="22"/>
      <c r="AI20" s="22"/>
      <c r="AJ20" s="22"/>
      <c r="AK20" s="29" t="str">
        <f t="shared" si="55"/>
        <v/>
      </c>
      <c r="AL20" s="22"/>
      <c r="AM20" s="22"/>
      <c r="AN20" s="22"/>
      <c r="AO20" s="29" t="str">
        <f t="shared" ref="AO20:AO43" si="75">IF(AND(AL20=0, AM20=0),"",(AL20/AM20))</f>
        <v/>
      </c>
      <c r="AP20" s="22"/>
      <c r="AQ20" s="22"/>
      <c r="AR20" s="22"/>
      <c r="AS20" s="29" t="str">
        <f t="shared" ref="AS20:AS43" si="76">IF(AND(AP20=0, AQ20=0),"",(AP20/AQ20)*100)</f>
        <v/>
      </c>
      <c r="AT20" s="22"/>
      <c r="AU20" s="22"/>
      <c r="AV20" s="22"/>
      <c r="AW20" s="29" t="str">
        <f t="shared" ref="AW20:AW43" si="77">IF(AND(AT20=0, AU20=0),"",(AT20/(AT20+AU20))*100)</f>
        <v/>
      </c>
      <c r="AX20" s="24"/>
      <c r="AY20" s="22"/>
      <c r="AZ20" s="22"/>
      <c r="BA20" s="29" t="str">
        <f t="shared" ref="BA20:BA43" si="78">IF(AND(AX20=0, AY20=0),"",(AX20/AY20)*100)</f>
        <v/>
      </c>
      <c r="BB20" s="22"/>
      <c r="BC20" s="22"/>
      <c r="BD20" s="22"/>
      <c r="BE20" s="29" t="str">
        <f t="shared" si="56"/>
        <v/>
      </c>
      <c r="BF20" s="22"/>
      <c r="BG20" s="22"/>
      <c r="BH20" s="22"/>
      <c r="BI20" s="29" t="str">
        <f t="shared" si="57"/>
        <v/>
      </c>
      <c r="BJ20" s="22"/>
      <c r="BK20" s="22"/>
      <c r="BL20" s="22"/>
      <c r="BM20" s="29" t="str">
        <f t="shared" si="58"/>
        <v/>
      </c>
      <c r="BN20" s="22"/>
      <c r="BO20" s="22"/>
      <c r="BP20" s="22"/>
      <c r="BQ20" s="29" t="str">
        <f t="shared" si="59"/>
        <v/>
      </c>
      <c r="BR20" s="22"/>
      <c r="BS20" s="22"/>
      <c r="BT20" s="22"/>
      <c r="BU20" s="29" t="str">
        <f t="shared" si="60"/>
        <v/>
      </c>
      <c r="BV20" s="22"/>
      <c r="BW20" s="22"/>
      <c r="BX20" s="22"/>
      <c r="BY20" s="29" t="str">
        <f t="shared" ref="BY20:BY43" si="79">IF(AND(BV20=0,BW20=0),"",((1-(BV20/BW20))*100))</f>
        <v/>
      </c>
      <c r="BZ20" s="22"/>
      <c r="CA20" s="22"/>
      <c r="CB20" s="29" t="str">
        <f t="shared" si="61"/>
        <v/>
      </c>
      <c r="CC20" s="22"/>
      <c r="CD20" s="22"/>
      <c r="CE20" s="29" t="str">
        <f t="shared" si="62"/>
        <v/>
      </c>
      <c r="CF20" s="22"/>
      <c r="CG20" s="22"/>
      <c r="CH20" s="22"/>
      <c r="CI20" s="29" t="str">
        <f t="shared" si="63"/>
        <v/>
      </c>
      <c r="CJ20" s="22"/>
      <c r="CK20" s="22"/>
      <c r="CL20" s="22"/>
      <c r="CM20" s="29" t="str">
        <f t="shared" si="64"/>
        <v/>
      </c>
      <c r="CN20" s="22"/>
      <c r="CO20" s="22"/>
      <c r="CP20" s="22"/>
      <c r="CQ20" s="29" t="str">
        <f t="shared" si="65"/>
        <v/>
      </c>
      <c r="CR20" s="22"/>
      <c r="CS20" s="22"/>
      <c r="CT20" s="29" t="str">
        <f t="shared" ref="CT20:CT43" si="80">IF(AND(BZ20=0,CR20=0),"",(BZ20/CR20))</f>
        <v/>
      </c>
      <c r="CU20" s="22"/>
      <c r="CV20" s="22"/>
      <c r="CW20" s="22"/>
      <c r="CX20" s="29" t="str">
        <f t="shared" si="66"/>
        <v/>
      </c>
      <c r="CY20" s="22"/>
      <c r="CZ20" s="22"/>
      <c r="DA20" s="22"/>
      <c r="DB20" s="29" t="str">
        <f t="shared" si="67"/>
        <v/>
      </c>
      <c r="DC20" s="22"/>
      <c r="DD20" s="22"/>
      <c r="DE20" s="29" t="str">
        <f t="shared" ref="DE20:DE43" si="81">IF(AND(DC20=0,CZ20=0),"",(DC20/CZ20))</f>
        <v/>
      </c>
      <c r="DF20" s="22"/>
      <c r="DG20" s="22"/>
      <c r="DH20" s="22"/>
      <c r="DI20" s="29" t="str">
        <f t="shared" si="68"/>
        <v/>
      </c>
      <c r="DJ20" s="22"/>
      <c r="DK20" s="22"/>
      <c r="DL20" s="22"/>
      <c r="DM20" s="29" t="str">
        <f t="shared" si="50"/>
        <v/>
      </c>
      <c r="DN20" s="22"/>
      <c r="DO20" s="22"/>
      <c r="DP20" s="22"/>
      <c r="DQ20" s="29" t="str">
        <f t="shared" si="51"/>
        <v/>
      </c>
      <c r="DR20" s="22"/>
      <c r="DS20" s="22"/>
      <c r="DT20" s="22"/>
      <c r="DU20" s="29" t="str">
        <f t="shared" si="52"/>
        <v/>
      </c>
      <c r="DV20" s="22"/>
      <c r="DW20" s="22"/>
      <c r="DX20" s="22"/>
      <c r="DY20" s="29" t="str">
        <f t="shared" si="22"/>
        <v/>
      </c>
      <c r="DZ20" s="22"/>
      <c r="EA20" s="22"/>
      <c r="EB20" s="22"/>
      <c r="EC20" s="29" t="str">
        <f t="shared" si="23"/>
        <v/>
      </c>
      <c r="ED20" s="22"/>
      <c r="EE20" s="22"/>
      <c r="EF20" s="22"/>
      <c r="EG20" s="29" t="str">
        <f t="shared" si="24"/>
        <v/>
      </c>
      <c r="EH20" s="22"/>
      <c r="EI20" s="22"/>
      <c r="EJ20" s="22"/>
      <c r="EK20" s="29" t="str">
        <f t="shared" si="25"/>
        <v/>
      </c>
      <c r="EL20" s="22"/>
      <c r="EM20" s="22"/>
      <c r="EN20" s="22"/>
      <c r="EO20" s="29" t="str">
        <f t="shared" si="26"/>
        <v/>
      </c>
      <c r="EP20" s="22"/>
      <c r="EQ20" s="22"/>
      <c r="ER20" s="22"/>
      <c r="ES20" s="29" t="str">
        <f t="shared" si="27"/>
        <v/>
      </c>
      <c r="ET20" s="22"/>
      <c r="EU20" s="22"/>
      <c r="EV20" s="22"/>
      <c r="EW20" s="29" t="str">
        <f t="shared" si="28"/>
        <v/>
      </c>
      <c r="EX20" s="22"/>
      <c r="EY20" s="22"/>
      <c r="EZ20" s="22"/>
      <c r="FA20" s="29" t="str">
        <f t="shared" si="29"/>
        <v/>
      </c>
      <c r="FB20" s="22"/>
      <c r="FC20" s="22"/>
      <c r="FD20" s="22"/>
      <c r="FE20" s="29" t="str">
        <f t="shared" si="30"/>
        <v/>
      </c>
      <c r="FF20" s="22"/>
      <c r="FG20" s="22"/>
      <c r="FH20" s="22"/>
      <c r="FI20" s="29" t="str">
        <f t="shared" si="31"/>
        <v/>
      </c>
      <c r="FJ20" s="22"/>
      <c r="FK20" s="22"/>
      <c r="FL20" s="22"/>
      <c r="FM20" s="29" t="str">
        <f t="shared" si="32"/>
        <v/>
      </c>
      <c r="FN20" s="22"/>
      <c r="FO20" s="22"/>
      <c r="FP20" s="22"/>
      <c r="FQ20" s="29" t="str">
        <f t="shared" si="33"/>
        <v/>
      </c>
      <c r="FR20" s="22"/>
      <c r="FS20" s="22"/>
      <c r="FT20" s="22"/>
    </row>
    <row r="21" spans="1:176" x14ac:dyDescent="0.2">
      <c r="A21" s="30" t="str">
        <f t="shared" si="34"/>
        <v xml:space="preserve"> </v>
      </c>
      <c r="B21" s="23"/>
      <c r="C21" s="23"/>
      <c r="D21" s="23"/>
      <c r="E21" s="22"/>
      <c r="F21" s="22"/>
      <c r="G21" s="22"/>
      <c r="H21" s="29" t="str">
        <f t="shared" si="69"/>
        <v/>
      </c>
      <c r="I21" s="22"/>
      <c r="J21" s="22"/>
      <c r="K21" s="22"/>
      <c r="L21" s="29" t="str">
        <f t="shared" si="70"/>
        <v/>
      </c>
      <c r="M21" s="22"/>
      <c r="N21" s="22"/>
      <c r="O21" s="22"/>
      <c r="P21" s="29" t="str">
        <f t="shared" si="71"/>
        <v/>
      </c>
      <c r="Q21" s="22"/>
      <c r="R21" s="32" t="str">
        <f t="shared" si="72"/>
        <v/>
      </c>
      <c r="S21" s="24"/>
      <c r="T21" s="22"/>
      <c r="U21" s="32" t="str">
        <f t="shared" si="73"/>
        <v/>
      </c>
      <c r="V21" s="22"/>
      <c r="W21" s="22"/>
      <c r="X21" s="22"/>
      <c r="Y21" s="32" t="str">
        <f t="shared" si="74"/>
        <v/>
      </c>
      <c r="Z21" s="22"/>
      <c r="AA21" s="22"/>
      <c r="AB21" s="22"/>
      <c r="AC21" s="29" t="str">
        <f t="shared" si="53"/>
        <v/>
      </c>
      <c r="AD21" s="22"/>
      <c r="AE21" s="22"/>
      <c r="AF21" s="22"/>
      <c r="AG21" s="29" t="str">
        <f t="shared" si="54"/>
        <v/>
      </c>
      <c r="AH21" s="22"/>
      <c r="AI21" s="22"/>
      <c r="AJ21" s="22"/>
      <c r="AK21" s="29" t="str">
        <f t="shared" si="55"/>
        <v/>
      </c>
      <c r="AL21" s="22"/>
      <c r="AM21" s="22"/>
      <c r="AN21" s="22"/>
      <c r="AO21" s="29" t="str">
        <f t="shared" si="75"/>
        <v/>
      </c>
      <c r="AP21" s="22"/>
      <c r="AQ21" s="22"/>
      <c r="AR21" s="22"/>
      <c r="AS21" s="29" t="str">
        <f t="shared" si="76"/>
        <v/>
      </c>
      <c r="AT21" s="22"/>
      <c r="AU21" s="22"/>
      <c r="AV21" s="22"/>
      <c r="AW21" s="29" t="str">
        <f t="shared" si="77"/>
        <v/>
      </c>
      <c r="AX21" s="24"/>
      <c r="AY21" s="22"/>
      <c r="AZ21" s="22"/>
      <c r="BA21" s="29" t="str">
        <f t="shared" si="78"/>
        <v/>
      </c>
      <c r="BB21" s="22"/>
      <c r="BC21" s="22"/>
      <c r="BD21" s="22"/>
      <c r="BE21" s="29" t="str">
        <f t="shared" si="56"/>
        <v/>
      </c>
      <c r="BF21" s="22"/>
      <c r="BG21" s="22"/>
      <c r="BH21" s="22"/>
      <c r="BI21" s="29" t="str">
        <f t="shared" si="57"/>
        <v/>
      </c>
      <c r="BJ21" s="22"/>
      <c r="BK21" s="22"/>
      <c r="BL21" s="22"/>
      <c r="BM21" s="29" t="str">
        <f t="shared" si="58"/>
        <v/>
      </c>
      <c r="BN21" s="22"/>
      <c r="BO21" s="22"/>
      <c r="BP21" s="22"/>
      <c r="BQ21" s="29" t="str">
        <f t="shared" si="59"/>
        <v/>
      </c>
      <c r="BR21" s="22"/>
      <c r="BS21" s="22"/>
      <c r="BT21" s="22"/>
      <c r="BU21" s="29" t="str">
        <f t="shared" si="60"/>
        <v/>
      </c>
      <c r="BV21" s="22"/>
      <c r="BW21" s="22"/>
      <c r="BX21" s="22"/>
      <c r="BY21" s="29" t="str">
        <f t="shared" si="79"/>
        <v/>
      </c>
      <c r="BZ21" s="22"/>
      <c r="CA21" s="22"/>
      <c r="CB21" s="29" t="str">
        <f t="shared" si="61"/>
        <v/>
      </c>
      <c r="CC21" s="22"/>
      <c r="CD21" s="22"/>
      <c r="CE21" s="29" t="str">
        <f t="shared" si="62"/>
        <v/>
      </c>
      <c r="CF21" s="22"/>
      <c r="CG21" s="22"/>
      <c r="CH21" s="22"/>
      <c r="CI21" s="29" t="str">
        <f t="shared" si="63"/>
        <v/>
      </c>
      <c r="CJ21" s="22"/>
      <c r="CK21" s="22"/>
      <c r="CL21" s="22"/>
      <c r="CM21" s="29" t="str">
        <f t="shared" si="64"/>
        <v/>
      </c>
      <c r="CN21" s="22"/>
      <c r="CO21" s="22"/>
      <c r="CP21" s="22"/>
      <c r="CQ21" s="29" t="str">
        <f t="shared" si="65"/>
        <v/>
      </c>
      <c r="CR21" s="22"/>
      <c r="CS21" s="22"/>
      <c r="CT21" s="29" t="str">
        <f t="shared" si="80"/>
        <v/>
      </c>
      <c r="CU21" s="22"/>
      <c r="CV21" s="22"/>
      <c r="CW21" s="22"/>
      <c r="CX21" s="29" t="str">
        <f t="shared" si="66"/>
        <v/>
      </c>
      <c r="CY21" s="22"/>
      <c r="CZ21" s="22"/>
      <c r="DA21" s="22"/>
      <c r="DB21" s="29" t="str">
        <f t="shared" si="67"/>
        <v/>
      </c>
      <c r="DC21" s="22"/>
      <c r="DD21" s="22"/>
      <c r="DE21" s="29" t="str">
        <f t="shared" si="81"/>
        <v/>
      </c>
      <c r="DF21" s="22"/>
      <c r="DG21" s="22"/>
      <c r="DH21" s="22"/>
      <c r="DI21" s="29" t="str">
        <f t="shared" si="68"/>
        <v/>
      </c>
      <c r="DJ21" s="22"/>
      <c r="DK21" s="22"/>
      <c r="DL21" s="22"/>
      <c r="DM21" s="29" t="str">
        <f t="shared" si="50"/>
        <v/>
      </c>
      <c r="DN21" s="22"/>
      <c r="DO21" s="22"/>
      <c r="DP21" s="22"/>
      <c r="DQ21" s="29" t="str">
        <f t="shared" si="51"/>
        <v/>
      </c>
      <c r="DR21" s="22"/>
      <c r="DS21" s="22"/>
      <c r="DT21" s="22"/>
      <c r="DU21" s="29" t="str">
        <f t="shared" si="52"/>
        <v/>
      </c>
      <c r="DV21" s="22"/>
      <c r="DW21" s="22"/>
      <c r="DX21" s="22"/>
      <c r="DY21" s="29" t="str">
        <f t="shared" si="22"/>
        <v/>
      </c>
      <c r="DZ21" s="22"/>
      <c r="EA21" s="22"/>
      <c r="EB21" s="22"/>
      <c r="EC21" s="29" t="str">
        <f t="shared" si="23"/>
        <v/>
      </c>
      <c r="ED21" s="22"/>
      <c r="EE21" s="22"/>
      <c r="EF21" s="22"/>
      <c r="EG21" s="29" t="str">
        <f t="shared" si="24"/>
        <v/>
      </c>
      <c r="EH21" s="22"/>
      <c r="EI21" s="22"/>
      <c r="EJ21" s="22"/>
      <c r="EK21" s="29" t="str">
        <f t="shared" si="25"/>
        <v/>
      </c>
      <c r="EL21" s="22"/>
      <c r="EM21" s="22"/>
      <c r="EN21" s="22"/>
      <c r="EO21" s="29" t="str">
        <f t="shared" si="26"/>
        <v/>
      </c>
      <c r="EP21" s="22"/>
      <c r="EQ21" s="22"/>
      <c r="ER21" s="22"/>
      <c r="ES21" s="29" t="str">
        <f t="shared" si="27"/>
        <v/>
      </c>
      <c r="ET21" s="22"/>
      <c r="EU21" s="22"/>
      <c r="EV21" s="22"/>
      <c r="EW21" s="29" t="str">
        <f t="shared" si="28"/>
        <v/>
      </c>
      <c r="EX21" s="22"/>
      <c r="EY21" s="22"/>
      <c r="EZ21" s="22"/>
      <c r="FA21" s="29" t="str">
        <f t="shared" si="29"/>
        <v/>
      </c>
      <c r="FB21" s="22"/>
      <c r="FC21" s="22"/>
      <c r="FD21" s="22"/>
      <c r="FE21" s="29" t="str">
        <f t="shared" si="30"/>
        <v/>
      </c>
      <c r="FF21" s="22"/>
      <c r="FG21" s="22"/>
      <c r="FH21" s="22"/>
      <c r="FI21" s="29" t="str">
        <f t="shared" si="31"/>
        <v/>
      </c>
      <c r="FJ21" s="22"/>
      <c r="FK21" s="22"/>
      <c r="FL21" s="22"/>
      <c r="FM21" s="29" t="str">
        <f t="shared" si="32"/>
        <v/>
      </c>
      <c r="FN21" s="22"/>
      <c r="FO21" s="22"/>
      <c r="FP21" s="22"/>
      <c r="FQ21" s="29" t="str">
        <f t="shared" si="33"/>
        <v/>
      </c>
      <c r="FR21" s="22"/>
      <c r="FS21" s="22"/>
      <c r="FT21" s="22"/>
    </row>
    <row r="22" spans="1:176" x14ac:dyDescent="0.2">
      <c r="A22" s="30" t="str">
        <f t="shared" si="34"/>
        <v xml:space="preserve"> </v>
      </c>
      <c r="B22" s="23"/>
      <c r="C22" s="23"/>
      <c r="D22" s="23"/>
      <c r="E22" s="22"/>
      <c r="F22" s="22"/>
      <c r="G22" s="22"/>
      <c r="H22" s="29" t="str">
        <f t="shared" si="69"/>
        <v/>
      </c>
      <c r="I22" s="22"/>
      <c r="J22" s="22"/>
      <c r="K22" s="22"/>
      <c r="L22" s="29" t="str">
        <f t="shared" si="70"/>
        <v/>
      </c>
      <c r="M22" s="22"/>
      <c r="N22" s="22"/>
      <c r="O22" s="22"/>
      <c r="P22" s="29" t="str">
        <f t="shared" si="71"/>
        <v/>
      </c>
      <c r="Q22" s="22"/>
      <c r="R22" s="32" t="str">
        <f t="shared" si="72"/>
        <v/>
      </c>
      <c r="S22" s="24"/>
      <c r="T22" s="22"/>
      <c r="U22" s="32" t="str">
        <f t="shared" si="73"/>
        <v/>
      </c>
      <c r="V22" s="22"/>
      <c r="W22" s="22"/>
      <c r="X22" s="22"/>
      <c r="Y22" s="32" t="str">
        <f t="shared" si="74"/>
        <v/>
      </c>
      <c r="Z22" s="22"/>
      <c r="AA22" s="22"/>
      <c r="AB22" s="22"/>
      <c r="AC22" s="29" t="str">
        <f t="shared" si="53"/>
        <v/>
      </c>
      <c r="AD22" s="22"/>
      <c r="AE22" s="22"/>
      <c r="AF22" s="22"/>
      <c r="AG22" s="29" t="str">
        <f t="shared" si="54"/>
        <v/>
      </c>
      <c r="AH22" s="22"/>
      <c r="AI22" s="22"/>
      <c r="AJ22" s="22"/>
      <c r="AK22" s="29" t="str">
        <f t="shared" si="55"/>
        <v/>
      </c>
      <c r="AL22" s="22"/>
      <c r="AM22" s="22"/>
      <c r="AN22" s="22"/>
      <c r="AO22" s="29" t="str">
        <f t="shared" si="75"/>
        <v/>
      </c>
      <c r="AP22" s="22"/>
      <c r="AQ22" s="22"/>
      <c r="AR22" s="22"/>
      <c r="AS22" s="29" t="str">
        <f t="shared" si="76"/>
        <v/>
      </c>
      <c r="AT22" s="22"/>
      <c r="AU22" s="22"/>
      <c r="AV22" s="22"/>
      <c r="AW22" s="29" t="str">
        <f t="shared" si="77"/>
        <v/>
      </c>
      <c r="AX22" s="24"/>
      <c r="AY22" s="22"/>
      <c r="AZ22" s="22"/>
      <c r="BA22" s="29" t="str">
        <f t="shared" si="78"/>
        <v/>
      </c>
      <c r="BB22" s="22"/>
      <c r="BC22" s="22"/>
      <c r="BD22" s="22"/>
      <c r="BE22" s="29" t="str">
        <f t="shared" si="56"/>
        <v/>
      </c>
      <c r="BF22" s="22"/>
      <c r="BG22" s="22"/>
      <c r="BH22" s="22"/>
      <c r="BI22" s="29" t="str">
        <f t="shared" si="57"/>
        <v/>
      </c>
      <c r="BJ22" s="22"/>
      <c r="BK22" s="22"/>
      <c r="BL22" s="22"/>
      <c r="BM22" s="29" t="str">
        <f t="shared" si="58"/>
        <v/>
      </c>
      <c r="BN22" s="22"/>
      <c r="BO22" s="22"/>
      <c r="BP22" s="22"/>
      <c r="BQ22" s="29" t="str">
        <f t="shared" si="59"/>
        <v/>
      </c>
      <c r="BR22" s="22"/>
      <c r="BS22" s="22"/>
      <c r="BT22" s="22"/>
      <c r="BU22" s="29" t="str">
        <f t="shared" si="60"/>
        <v/>
      </c>
      <c r="BV22" s="22"/>
      <c r="BW22" s="22"/>
      <c r="BX22" s="22"/>
      <c r="BY22" s="29" t="str">
        <f t="shared" si="79"/>
        <v/>
      </c>
      <c r="BZ22" s="22"/>
      <c r="CA22" s="22"/>
      <c r="CB22" s="29" t="str">
        <f t="shared" si="61"/>
        <v/>
      </c>
      <c r="CC22" s="22"/>
      <c r="CD22" s="22"/>
      <c r="CE22" s="29" t="str">
        <f t="shared" si="62"/>
        <v/>
      </c>
      <c r="CF22" s="22"/>
      <c r="CG22" s="22"/>
      <c r="CH22" s="22"/>
      <c r="CI22" s="29" t="str">
        <f t="shared" si="63"/>
        <v/>
      </c>
      <c r="CJ22" s="22"/>
      <c r="CK22" s="22"/>
      <c r="CL22" s="22"/>
      <c r="CM22" s="29" t="str">
        <f t="shared" si="64"/>
        <v/>
      </c>
      <c r="CN22" s="22"/>
      <c r="CO22" s="22"/>
      <c r="CP22" s="22"/>
      <c r="CQ22" s="29" t="str">
        <f t="shared" si="65"/>
        <v/>
      </c>
      <c r="CR22" s="22"/>
      <c r="CS22" s="22"/>
      <c r="CT22" s="29" t="str">
        <f t="shared" si="80"/>
        <v/>
      </c>
      <c r="CU22" s="22"/>
      <c r="CV22" s="22"/>
      <c r="CW22" s="22"/>
      <c r="CX22" s="29" t="str">
        <f t="shared" si="66"/>
        <v/>
      </c>
      <c r="CY22" s="22"/>
      <c r="CZ22" s="22"/>
      <c r="DA22" s="22"/>
      <c r="DB22" s="29" t="str">
        <f t="shared" si="67"/>
        <v/>
      </c>
      <c r="DC22" s="22"/>
      <c r="DD22" s="22"/>
      <c r="DE22" s="29" t="str">
        <f t="shared" si="81"/>
        <v/>
      </c>
      <c r="DF22" s="22"/>
      <c r="DG22" s="22"/>
      <c r="DH22" s="22"/>
      <c r="DI22" s="29" t="str">
        <f t="shared" si="68"/>
        <v/>
      </c>
      <c r="DJ22" s="22"/>
      <c r="DK22" s="22"/>
      <c r="DL22" s="22"/>
      <c r="DM22" s="29" t="str">
        <f t="shared" si="50"/>
        <v/>
      </c>
      <c r="DN22" s="22"/>
      <c r="DO22" s="22"/>
      <c r="DP22" s="22"/>
      <c r="DQ22" s="29" t="str">
        <f t="shared" si="51"/>
        <v/>
      </c>
      <c r="DR22" s="22"/>
      <c r="DS22" s="22"/>
      <c r="DT22" s="22"/>
      <c r="DU22" s="29" t="str">
        <f t="shared" si="52"/>
        <v/>
      </c>
      <c r="DV22" s="22"/>
      <c r="DW22" s="22"/>
      <c r="DX22" s="22"/>
      <c r="DY22" s="29" t="str">
        <f t="shared" si="22"/>
        <v/>
      </c>
      <c r="DZ22" s="22"/>
      <c r="EA22" s="22"/>
      <c r="EB22" s="22"/>
      <c r="EC22" s="29" t="str">
        <f t="shared" si="23"/>
        <v/>
      </c>
      <c r="ED22" s="22"/>
      <c r="EE22" s="22"/>
      <c r="EF22" s="22"/>
      <c r="EG22" s="29" t="str">
        <f t="shared" si="24"/>
        <v/>
      </c>
      <c r="EH22" s="22"/>
      <c r="EI22" s="22"/>
      <c r="EJ22" s="22"/>
      <c r="EK22" s="29" t="str">
        <f t="shared" si="25"/>
        <v/>
      </c>
      <c r="EL22" s="22"/>
      <c r="EM22" s="22"/>
      <c r="EN22" s="22"/>
      <c r="EO22" s="29" t="str">
        <f t="shared" si="26"/>
        <v/>
      </c>
      <c r="EP22" s="22"/>
      <c r="EQ22" s="22"/>
      <c r="ER22" s="22"/>
      <c r="ES22" s="29" t="str">
        <f t="shared" si="27"/>
        <v/>
      </c>
      <c r="ET22" s="22"/>
      <c r="EU22" s="22"/>
      <c r="EV22" s="22"/>
      <c r="EW22" s="29" t="str">
        <f t="shared" si="28"/>
        <v/>
      </c>
      <c r="EX22" s="22"/>
      <c r="EY22" s="22"/>
      <c r="EZ22" s="22"/>
      <c r="FA22" s="29" t="str">
        <f t="shared" si="29"/>
        <v/>
      </c>
      <c r="FB22" s="22"/>
      <c r="FC22" s="22"/>
      <c r="FD22" s="22"/>
      <c r="FE22" s="29" t="str">
        <f t="shared" si="30"/>
        <v/>
      </c>
      <c r="FF22" s="22"/>
      <c r="FG22" s="22"/>
      <c r="FH22" s="22"/>
      <c r="FI22" s="29" t="str">
        <f t="shared" si="31"/>
        <v/>
      </c>
      <c r="FJ22" s="22"/>
      <c r="FK22" s="22"/>
      <c r="FL22" s="22"/>
      <c r="FM22" s="29" t="str">
        <f t="shared" si="32"/>
        <v/>
      </c>
      <c r="FN22" s="22"/>
      <c r="FO22" s="22"/>
      <c r="FP22" s="22"/>
      <c r="FQ22" s="29" t="str">
        <f t="shared" si="33"/>
        <v/>
      </c>
      <c r="FR22" s="22"/>
      <c r="FS22" s="22"/>
      <c r="FT22" s="22"/>
    </row>
    <row r="23" spans="1:176" x14ac:dyDescent="0.2">
      <c r="A23" s="30" t="str">
        <f t="shared" si="34"/>
        <v xml:space="preserve"> </v>
      </c>
      <c r="B23" s="23"/>
      <c r="C23" s="23"/>
      <c r="D23" s="23"/>
      <c r="E23" s="22"/>
      <c r="F23" s="22"/>
      <c r="G23" s="22"/>
      <c r="H23" s="29" t="str">
        <f t="shared" si="69"/>
        <v/>
      </c>
      <c r="I23" s="22"/>
      <c r="J23" s="22"/>
      <c r="K23" s="22"/>
      <c r="L23" s="29" t="str">
        <f t="shared" si="70"/>
        <v/>
      </c>
      <c r="M23" s="22"/>
      <c r="N23" s="22"/>
      <c r="O23" s="22"/>
      <c r="P23" s="29" t="str">
        <f t="shared" si="71"/>
        <v/>
      </c>
      <c r="Q23" s="22"/>
      <c r="R23" s="32" t="str">
        <f t="shared" si="72"/>
        <v/>
      </c>
      <c r="S23" s="24"/>
      <c r="T23" s="22"/>
      <c r="U23" s="32" t="str">
        <f t="shared" si="73"/>
        <v/>
      </c>
      <c r="V23" s="22"/>
      <c r="W23" s="22"/>
      <c r="X23" s="22"/>
      <c r="Y23" s="32" t="str">
        <f t="shared" si="74"/>
        <v/>
      </c>
      <c r="Z23" s="22"/>
      <c r="AA23" s="22"/>
      <c r="AB23" s="22"/>
      <c r="AC23" s="29" t="str">
        <f t="shared" si="53"/>
        <v/>
      </c>
      <c r="AD23" s="22"/>
      <c r="AE23" s="22"/>
      <c r="AF23" s="22"/>
      <c r="AG23" s="29" t="str">
        <f t="shared" si="54"/>
        <v/>
      </c>
      <c r="AH23" s="22"/>
      <c r="AI23" s="22"/>
      <c r="AJ23" s="22"/>
      <c r="AK23" s="29" t="str">
        <f t="shared" si="55"/>
        <v/>
      </c>
      <c r="AL23" s="22"/>
      <c r="AM23" s="22"/>
      <c r="AN23" s="22"/>
      <c r="AO23" s="29" t="str">
        <f t="shared" si="75"/>
        <v/>
      </c>
      <c r="AP23" s="22"/>
      <c r="AQ23" s="22"/>
      <c r="AR23" s="22"/>
      <c r="AS23" s="29" t="str">
        <f t="shared" si="76"/>
        <v/>
      </c>
      <c r="AT23" s="22"/>
      <c r="AU23" s="22"/>
      <c r="AV23" s="22"/>
      <c r="AW23" s="29" t="str">
        <f t="shared" si="77"/>
        <v/>
      </c>
      <c r="AX23" s="24"/>
      <c r="AY23" s="22"/>
      <c r="AZ23" s="22"/>
      <c r="BA23" s="29" t="str">
        <f t="shared" si="78"/>
        <v/>
      </c>
      <c r="BB23" s="22"/>
      <c r="BC23" s="22"/>
      <c r="BD23" s="22"/>
      <c r="BE23" s="29" t="str">
        <f t="shared" si="56"/>
        <v/>
      </c>
      <c r="BF23" s="22"/>
      <c r="BG23" s="22"/>
      <c r="BH23" s="22"/>
      <c r="BI23" s="29" t="str">
        <f t="shared" si="57"/>
        <v/>
      </c>
      <c r="BJ23" s="22"/>
      <c r="BK23" s="22"/>
      <c r="BL23" s="22"/>
      <c r="BM23" s="29" t="str">
        <f t="shared" si="58"/>
        <v/>
      </c>
      <c r="BN23" s="22"/>
      <c r="BO23" s="22"/>
      <c r="BP23" s="22"/>
      <c r="BQ23" s="29" t="str">
        <f t="shared" si="59"/>
        <v/>
      </c>
      <c r="BR23" s="22"/>
      <c r="BS23" s="22"/>
      <c r="BT23" s="22"/>
      <c r="BU23" s="29" t="str">
        <f t="shared" si="60"/>
        <v/>
      </c>
      <c r="BV23" s="22"/>
      <c r="BW23" s="22"/>
      <c r="BX23" s="22"/>
      <c r="BY23" s="29" t="str">
        <f t="shared" si="79"/>
        <v/>
      </c>
      <c r="BZ23" s="22"/>
      <c r="CA23" s="22"/>
      <c r="CB23" s="29" t="str">
        <f t="shared" si="61"/>
        <v/>
      </c>
      <c r="CC23" s="22"/>
      <c r="CD23" s="22"/>
      <c r="CE23" s="29" t="str">
        <f t="shared" si="62"/>
        <v/>
      </c>
      <c r="CF23" s="22"/>
      <c r="CG23" s="22"/>
      <c r="CH23" s="22"/>
      <c r="CI23" s="29" t="str">
        <f t="shared" si="63"/>
        <v/>
      </c>
      <c r="CJ23" s="22"/>
      <c r="CK23" s="22"/>
      <c r="CL23" s="22"/>
      <c r="CM23" s="29" t="str">
        <f t="shared" si="64"/>
        <v/>
      </c>
      <c r="CN23" s="22"/>
      <c r="CO23" s="22"/>
      <c r="CP23" s="22"/>
      <c r="CQ23" s="29" t="str">
        <f t="shared" si="65"/>
        <v/>
      </c>
      <c r="CR23" s="22"/>
      <c r="CS23" s="22"/>
      <c r="CT23" s="29" t="str">
        <f t="shared" si="80"/>
        <v/>
      </c>
      <c r="CU23" s="22"/>
      <c r="CV23" s="22"/>
      <c r="CW23" s="22"/>
      <c r="CX23" s="29" t="str">
        <f t="shared" si="66"/>
        <v/>
      </c>
      <c r="CY23" s="22"/>
      <c r="CZ23" s="22"/>
      <c r="DA23" s="22"/>
      <c r="DB23" s="29" t="str">
        <f t="shared" si="67"/>
        <v/>
      </c>
      <c r="DC23" s="22"/>
      <c r="DD23" s="22"/>
      <c r="DE23" s="29" t="str">
        <f t="shared" si="81"/>
        <v/>
      </c>
      <c r="DF23" s="22"/>
      <c r="DG23" s="22"/>
      <c r="DH23" s="22"/>
      <c r="DI23" s="29" t="str">
        <f t="shared" si="68"/>
        <v/>
      </c>
      <c r="DJ23" s="22"/>
      <c r="DK23" s="22"/>
      <c r="DL23" s="22"/>
      <c r="DM23" s="29" t="str">
        <f t="shared" si="50"/>
        <v/>
      </c>
      <c r="DN23" s="22"/>
      <c r="DO23" s="22"/>
      <c r="DP23" s="22"/>
      <c r="DQ23" s="29" t="str">
        <f t="shared" si="51"/>
        <v/>
      </c>
      <c r="DR23" s="22"/>
      <c r="DS23" s="22"/>
      <c r="DT23" s="22"/>
      <c r="DU23" s="29" t="str">
        <f t="shared" si="52"/>
        <v/>
      </c>
      <c r="DV23" s="22"/>
      <c r="DW23" s="22"/>
      <c r="DX23" s="22"/>
      <c r="DY23" s="29" t="str">
        <f t="shared" si="22"/>
        <v/>
      </c>
      <c r="DZ23" s="22"/>
      <c r="EA23" s="22"/>
      <c r="EB23" s="22"/>
      <c r="EC23" s="29" t="str">
        <f t="shared" si="23"/>
        <v/>
      </c>
      <c r="ED23" s="22"/>
      <c r="EE23" s="22"/>
      <c r="EF23" s="22"/>
      <c r="EG23" s="29" t="str">
        <f t="shared" si="24"/>
        <v/>
      </c>
      <c r="EH23" s="22"/>
      <c r="EI23" s="22"/>
      <c r="EJ23" s="22"/>
      <c r="EK23" s="29" t="str">
        <f t="shared" si="25"/>
        <v/>
      </c>
      <c r="EL23" s="22"/>
      <c r="EM23" s="22"/>
      <c r="EN23" s="22"/>
      <c r="EO23" s="29" t="str">
        <f t="shared" si="26"/>
        <v/>
      </c>
      <c r="EP23" s="22"/>
      <c r="EQ23" s="22"/>
      <c r="ER23" s="22"/>
      <c r="ES23" s="29" t="str">
        <f t="shared" si="27"/>
        <v/>
      </c>
      <c r="ET23" s="22"/>
      <c r="EU23" s="22"/>
      <c r="EV23" s="22"/>
      <c r="EW23" s="29" t="str">
        <f t="shared" si="28"/>
        <v/>
      </c>
      <c r="EX23" s="22"/>
      <c r="EY23" s="22"/>
      <c r="EZ23" s="22"/>
      <c r="FA23" s="29" t="str">
        <f t="shared" si="29"/>
        <v/>
      </c>
      <c r="FB23" s="22"/>
      <c r="FC23" s="22"/>
      <c r="FD23" s="22"/>
      <c r="FE23" s="29" t="str">
        <f t="shared" si="30"/>
        <v/>
      </c>
      <c r="FF23" s="22"/>
      <c r="FG23" s="22"/>
      <c r="FH23" s="22"/>
      <c r="FI23" s="29" t="str">
        <f t="shared" si="31"/>
        <v/>
      </c>
      <c r="FJ23" s="22"/>
      <c r="FK23" s="22"/>
      <c r="FL23" s="22"/>
      <c r="FM23" s="29" t="str">
        <f t="shared" si="32"/>
        <v/>
      </c>
      <c r="FN23" s="22"/>
      <c r="FO23" s="22"/>
      <c r="FP23" s="22"/>
      <c r="FQ23" s="29" t="str">
        <f t="shared" si="33"/>
        <v/>
      </c>
      <c r="FR23" s="22"/>
      <c r="FS23" s="22"/>
      <c r="FT23" s="22"/>
    </row>
    <row r="24" spans="1:176" x14ac:dyDescent="0.2">
      <c r="A24" s="30" t="str">
        <f t="shared" si="34"/>
        <v xml:space="preserve"> </v>
      </c>
      <c r="B24" s="23"/>
      <c r="C24" s="23"/>
      <c r="D24" s="23"/>
      <c r="E24" s="22"/>
      <c r="F24" s="22"/>
      <c r="G24" s="22"/>
      <c r="H24" s="29" t="str">
        <f t="shared" si="69"/>
        <v/>
      </c>
      <c r="I24" s="22"/>
      <c r="J24" s="22"/>
      <c r="K24" s="22"/>
      <c r="L24" s="29" t="str">
        <f t="shared" si="70"/>
        <v/>
      </c>
      <c r="M24" s="22"/>
      <c r="N24" s="22"/>
      <c r="O24" s="22"/>
      <c r="P24" s="29" t="str">
        <f t="shared" si="71"/>
        <v/>
      </c>
      <c r="Q24" s="22"/>
      <c r="R24" s="32" t="str">
        <f t="shared" si="72"/>
        <v/>
      </c>
      <c r="S24" s="24"/>
      <c r="T24" s="22"/>
      <c r="U24" s="32" t="str">
        <f t="shared" si="73"/>
        <v/>
      </c>
      <c r="V24" s="22"/>
      <c r="W24" s="22"/>
      <c r="X24" s="22"/>
      <c r="Y24" s="32" t="str">
        <f t="shared" si="74"/>
        <v/>
      </c>
      <c r="Z24" s="22"/>
      <c r="AA24" s="22"/>
      <c r="AB24" s="22"/>
      <c r="AC24" s="29" t="str">
        <f t="shared" si="53"/>
        <v/>
      </c>
      <c r="AD24" s="22"/>
      <c r="AE24" s="22"/>
      <c r="AF24" s="22"/>
      <c r="AG24" s="29" t="str">
        <f t="shared" si="54"/>
        <v/>
      </c>
      <c r="AH24" s="22"/>
      <c r="AI24" s="22"/>
      <c r="AJ24" s="22"/>
      <c r="AK24" s="29" t="str">
        <f t="shared" si="55"/>
        <v/>
      </c>
      <c r="AL24" s="22"/>
      <c r="AM24" s="22"/>
      <c r="AN24" s="22"/>
      <c r="AO24" s="29" t="str">
        <f t="shared" si="75"/>
        <v/>
      </c>
      <c r="AP24" s="22"/>
      <c r="AQ24" s="22"/>
      <c r="AR24" s="22"/>
      <c r="AS24" s="29" t="str">
        <f t="shared" si="76"/>
        <v/>
      </c>
      <c r="AT24" s="22"/>
      <c r="AU24" s="22"/>
      <c r="AV24" s="22"/>
      <c r="AW24" s="29" t="str">
        <f t="shared" si="77"/>
        <v/>
      </c>
      <c r="AX24" s="24"/>
      <c r="AY24" s="22"/>
      <c r="AZ24" s="22"/>
      <c r="BA24" s="29" t="str">
        <f t="shared" si="78"/>
        <v/>
      </c>
      <c r="BB24" s="22"/>
      <c r="BC24" s="22"/>
      <c r="BD24" s="22"/>
      <c r="BE24" s="29" t="str">
        <f t="shared" si="56"/>
        <v/>
      </c>
      <c r="BF24" s="22"/>
      <c r="BG24" s="22"/>
      <c r="BH24" s="22"/>
      <c r="BI24" s="29" t="str">
        <f t="shared" si="57"/>
        <v/>
      </c>
      <c r="BJ24" s="22"/>
      <c r="BK24" s="22"/>
      <c r="BL24" s="22"/>
      <c r="BM24" s="29" t="str">
        <f t="shared" si="58"/>
        <v/>
      </c>
      <c r="BN24" s="22"/>
      <c r="BO24" s="22"/>
      <c r="BP24" s="22"/>
      <c r="BQ24" s="29" t="str">
        <f t="shared" si="59"/>
        <v/>
      </c>
      <c r="BR24" s="22"/>
      <c r="BS24" s="22"/>
      <c r="BT24" s="22"/>
      <c r="BU24" s="29" t="str">
        <f t="shared" si="60"/>
        <v/>
      </c>
      <c r="BV24" s="22"/>
      <c r="BW24" s="22"/>
      <c r="BX24" s="22"/>
      <c r="BY24" s="29" t="str">
        <f t="shared" si="79"/>
        <v/>
      </c>
      <c r="BZ24" s="22"/>
      <c r="CA24" s="22"/>
      <c r="CB24" s="29" t="str">
        <f t="shared" si="61"/>
        <v/>
      </c>
      <c r="CC24" s="22"/>
      <c r="CD24" s="22"/>
      <c r="CE24" s="29" t="str">
        <f t="shared" si="62"/>
        <v/>
      </c>
      <c r="CF24" s="22"/>
      <c r="CG24" s="22"/>
      <c r="CH24" s="22"/>
      <c r="CI24" s="29" t="str">
        <f t="shared" si="63"/>
        <v/>
      </c>
      <c r="CJ24" s="22"/>
      <c r="CK24" s="22"/>
      <c r="CL24" s="22"/>
      <c r="CM24" s="29" t="str">
        <f t="shared" si="64"/>
        <v/>
      </c>
      <c r="CN24" s="22"/>
      <c r="CO24" s="22"/>
      <c r="CP24" s="22"/>
      <c r="CQ24" s="29" t="str">
        <f t="shared" si="65"/>
        <v/>
      </c>
      <c r="CR24" s="22"/>
      <c r="CS24" s="22"/>
      <c r="CT24" s="29" t="str">
        <f t="shared" si="80"/>
        <v/>
      </c>
      <c r="CU24" s="22"/>
      <c r="CV24" s="22"/>
      <c r="CW24" s="22"/>
      <c r="CX24" s="29" t="str">
        <f t="shared" si="66"/>
        <v/>
      </c>
      <c r="CY24" s="22"/>
      <c r="CZ24" s="22"/>
      <c r="DA24" s="22"/>
      <c r="DB24" s="29" t="str">
        <f t="shared" si="67"/>
        <v/>
      </c>
      <c r="DC24" s="22"/>
      <c r="DD24" s="22"/>
      <c r="DE24" s="29" t="str">
        <f t="shared" si="81"/>
        <v/>
      </c>
      <c r="DF24" s="22"/>
      <c r="DG24" s="22"/>
      <c r="DH24" s="22"/>
      <c r="DI24" s="29" t="str">
        <f t="shared" si="68"/>
        <v/>
      </c>
      <c r="DJ24" s="22"/>
      <c r="DK24" s="22"/>
      <c r="DL24" s="22"/>
      <c r="DM24" s="29" t="str">
        <f t="shared" si="50"/>
        <v/>
      </c>
      <c r="DN24" s="22"/>
      <c r="DO24" s="22"/>
      <c r="DP24" s="22"/>
      <c r="DQ24" s="29" t="str">
        <f t="shared" si="51"/>
        <v/>
      </c>
      <c r="DR24" s="22"/>
      <c r="DS24" s="22"/>
      <c r="DT24" s="22"/>
      <c r="DU24" s="29" t="str">
        <f t="shared" si="52"/>
        <v/>
      </c>
      <c r="DV24" s="22"/>
      <c r="DW24" s="22"/>
      <c r="DX24" s="22"/>
      <c r="DY24" s="29" t="str">
        <f t="shared" si="22"/>
        <v/>
      </c>
      <c r="DZ24" s="22"/>
      <c r="EA24" s="22"/>
      <c r="EB24" s="22"/>
      <c r="EC24" s="29" t="str">
        <f t="shared" si="23"/>
        <v/>
      </c>
      <c r="ED24" s="22"/>
      <c r="EE24" s="22"/>
      <c r="EF24" s="22"/>
      <c r="EG24" s="29" t="str">
        <f t="shared" si="24"/>
        <v/>
      </c>
      <c r="EH24" s="22"/>
      <c r="EI24" s="22"/>
      <c r="EJ24" s="22"/>
      <c r="EK24" s="29" t="str">
        <f t="shared" si="25"/>
        <v/>
      </c>
      <c r="EL24" s="22"/>
      <c r="EM24" s="22"/>
      <c r="EN24" s="22"/>
      <c r="EO24" s="29" t="str">
        <f t="shared" si="26"/>
        <v/>
      </c>
      <c r="EP24" s="22"/>
      <c r="EQ24" s="22"/>
      <c r="ER24" s="22"/>
      <c r="ES24" s="29" t="str">
        <f t="shared" si="27"/>
        <v/>
      </c>
      <c r="ET24" s="22"/>
      <c r="EU24" s="22"/>
      <c r="EV24" s="22"/>
      <c r="EW24" s="29" t="str">
        <f t="shared" si="28"/>
        <v/>
      </c>
      <c r="EX24" s="22"/>
      <c r="EY24" s="22"/>
      <c r="EZ24" s="22"/>
      <c r="FA24" s="29" t="str">
        <f t="shared" si="29"/>
        <v/>
      </c>
      <c r="FB24" s="22"/>
      <c r="FC24" s="22"/>
      <c r="FD24" s="22"/>
      <c r="FE24" s="29" t="str">
        <f t="shared" si="30"/>
        <v/>
      </c>
      <c r="FF24" s="22"/>
      <c r="FG24" s="22"/>
      <c r="FH24" s="22"/>
      <c r="FI24" s="29" t="str">
        <f t="shared" si="31"/>
        <v/>
      </c>
      <c r="FJ24" s="22"/>
      <c r="FK24" s="22"/>
      <c r="FL24" s="22"/>
      <c r="FM24" s="29" t="str">
        <f t="shared" si="32"/>
        <v/>
      </c>
      <c r="FN24" s="22"/>
      <c r="FO24" s="22"/>
      <c r="FP24" s="22"/>
      <c r="FQ24" s="29" t="str">
        <f t="shared" si="33"/>
        <v/>
      </c>
      <c r="FR24" s="22"/>
      <c r="FS24" s="22"/>
      <c r="FT24" s="22"/>
    </row>
    <row r="25" spans="1:176" x14ac:dyDescent="0.2">
      <c r="A25" s="30" t="str">
        <f t="shared" si="34"/>
        <v xml:space="preserve"> </v>
      </c>
      <c r="B25" s="23"/>
      <c r="C25" s="23"/>
      <c r="D25" s="23"/>
      <c r="E25" s="22"/>
      <c r="F25" s="22"/>
      <c r="G25" s="22"/>
      <c r="H25" s="29" t="str">
        <f t="shared" si="69"/>
        <v/>
      </c>
      <c r="I25" s="22"/>
      <c r="J25" s="22"/>
      <c r="K25" s="22"/>
      <c r="L25" s="29" t="str">
        <f t="shared" si="70"/>
        <v/>
      </c>
      <c r="M25" s="22"/>
      <c r="N25" s="22"/>
      <c r="O25" s="22"/>
      <c r="P25" s="29" t="str">
        <f t="shared" si="71"/>
        <v/>
      </c>
      <c r="Q25" s="22"/>
      <c r="R25" s="32" t="str">
        <f t="shared" si="72"/>
        <v/>
      </c>
      <c r="S25" s="24"/>
      <c r="T25" s="22"/>
      <c r="U25" s="32" t="str">
        <f t="shared" si="73"/>
        <v/>
      </c>
      <c r="V25" s="22"/>
      <c r="W25" s="22"/>
      <c r="X25" s="22"/>
      <c r="Y25" s="32" t="str">
        <f t="shared" si="74"/>
        <v/>
      </c>
      <c r="Z25" s="22"/>
      <c r="AA25" s="22"/>
      <c r="AB25" s="22"/>
      <c r="AC25" s="29" t="str">
        <f t="shared" si="53"/>
        <v/>
      </c>
      <c r="AD25" s="22"/>
      <c r="AE25" s="22"/>
      <c r="AF25" s="22"/>
      <c r="AG25" s="29" t="str">
        <f t="shared" si="54"/>
        <v/>
      </c>
      <c r="AH25" s="22"/>
      <c r="AI25" s="22"/>
      <c r="AJ25" s="22"/>
      <c r="AK25" s="29" t="str">
        <f t="shared" si="55"/>
        <v/>
      </c>
      <c r="AL25" s="22"/>
      <c r="AM25" s="22"/>
      <c r="AN25" s="22"/>
      <c r="AO25" s="29" t="str">
        <f t="shared" si="75"/>
        <v/>
      </c>
      <c r="AP25" s="22"/>
      <c r="AQ25" s="22"/>
      <c r="AR25" s="22"/>
      <c r="AS25" s="29" t="str">
        <f t="shared" si="76"/>
        <v/>
      </c>
      <c r="AT25" s="22"/>
      <c r="AU25" s="22"/>
      <c r="AV25" s="22"/>
      <c r="AW25" s="29" t="str">
        <f t="shared" si="77"/>
        <v/>
      </c>
      <c r="AX25" s="24"/>
      <c r="AY25" s="22"/>
      <c r="AZ25" s="22"/>
      <c r="BA25" s="29" t="str">
        <f t="shared" si="78"/>
        <v/>
      </c>
      <c r="BB25" s="22"/>
      <c r="BC25" s="22"/>
      <c r="BD25" s="22"/>
      <c r="BE25" s="29" t="str">
        <f t="shared" si="56"/>
        <v/>
      </c>
      <c r="BF25" s="22"/>
      <c r="BG25" s="22"/>
      <c r="BH25" s="22"/>
      <c r="BI25" s="29" t="str">
        <f t="shared" si="57"/>
        <v/>
      </c>
      <c r="BJ25" s="22"/>
      <c r="BK25" s="22"/>
      <c r="BL25" s="22"/>
      <c r="BM25" s="29" t="str">
        <f t="shared" si="58"/>
        <v/>
      </c>
      <c r="BN25" s="22"/>
      <c r="BO25" s="22"/>
      <c r="BP25" s="22"/>
      <c r="BQ25" s="29" t="str">
        <f t="shared" si="59"/>
        <v/>
      </c>
      <c r="BR25" s="22"/>
      <c r="BS25" s="22"/>
      <c r="BT25" s="22"/>
      <c r="BU25" s="29" t="str">
        <f t="shared" si="60"/>
        <v/>
      </c>
      <c r="BV25" s="22"/>
      <c r="BW25" s="22"/>
      <c r="BX25" s="22"/>
      <c r="BY25" s="29" t="str">
        <f t="shared" si="79"/>
        <v/>
      </c>
      <c r="BZ25" s="22"/>
      <c r="CA25" s="22"/>
      <c r="CB25" s="29" t="str">
        <f t="shared" si="61"/>
        <v/>
      </c>
      <c r="CC25" s="22"/>
      <c r="CD25" s="22"/>
      <c r="CE25" s="29" t="str">
        <f t="shared" si="62"/>
        <v/>
      </c>
      <c r="CF25" s="22"/>
      <c r="CG25" s="22"/>
      <c r="CH25" s="22"/>
      <c r="CI25" s="29" t="str">
        <f t="shared" si="63"/>
        <v/>
      </c>
      <c r="CJ25" s="22"/>
      <c r="CK25" s="22"/>
      <c r="CL25" s="22"/>
      <c r="CM25" s="29" t="str">
        <f t="shared" si="64"/>
        <v/>
      </c>
      <c r="CN25" s="22"/>
      <c r="CO25" s="22"/>
      <c r="CP25" s="22"/>
      <c r="CQ25" s="29" t="str">
        <f t="shared" si="65"/>
        <v/>
      </c>
      <c r="CR25" s="22"/>
      <c r="CS25" s="22"/>
      <c r="CT25" s="29" t="str">
        <f t="shared" si="80"/>
        <v/>
      </c>
      <c r="CU25" s="22"/>
      <c r="CV25" s="22"/>
      <c r="CW25" s="22"/>
      <c r="CX25" s="29" t="str">
        <f t="shared" si="66"/>
        <v/>
      </c>
      <c r="CY25" s="22"/>
      <c r="CZ25" s="22"/>
      <c r="DA25" s="22"/>
      <c r="DB25" s="29" t="str">
        <f t="shared" si="67"/>
        <v/>
      </c>
      <c r="DC25" s="22"/>
      <c r="DD25" s="22"/>
      <c r="DE25" s="29" t="str">
        <f t="shared" si="81"/>
        <v/>
      </c>
      <c r="DF25" s="22"/>
      <c r="DG25" s="22"/>
      <c r="DH25" s="22"/>
      <c r="DI25" s="29" t="str">
        <f t="shared" si="68"/>
        <v/>
      </c>
      <c r="DJ25" s="22"/>
      <c r="DK25" s="22"/>
      <c r="DL25" s="22"/>
      <c r="DM25" s="29" t="str">
        <f t="shared" si="50"/>
        <v/>
      </c>
      <c r="DN25" s="22"/>
      <c r="DO25" s="22"/>
      <c r="DP25" s="22"/>
      <c r="DQ25" s="29" t="str">
        <f t="shared" si="51"/>
        <v/>
      </c>
      <c r="DR25" s="22"/>
      <c r="DS25" s="22"/>
      <c r="DT25" s="22"/>
      <c r="DU25" s="29" t="str">
        <f t="shared" si="52"/>
        <v/>
      </c>
      <c r="DV25" s="22"/>
      <c r="DW25" s="22"/>
      <c r="DX25" s="22"/>
      <c r="DY25" s="29" t="str">
        <f t="shared" si="22"/>
        <v/>
      </c>
      <c r="DZ25" s="22"/>
      <c r="EA25" s="22"/>
      <c r="EB25" s="22"/>
      <c r="EC25" s="29" t="str">
        <f t="shared" si="23"/>
        <v/>
      </c>
      <c r="ED25" s="22"/>
      <c r="EE25" s="22"/>
      <c r="EF25" s="22"/>
      <c r="EG25" s="29" t="str">
        <f t="shared" si="24"/>
        <v/>
      </c>
      <c r="EH25" s="22"/>
      <c r="EI25" s="22"/>
      <c r="EJ25" s="22"/>
      <c r="EK25" s="29" t="str">
        <f t="shared" si="25"/>
        <v/>
      </c>
      <c r="EL25" s="22"/>
      <c r="EM25" s="22"/>
      <c r="EN25" s="22"/>
      <c r="EO25" s="29" t="str">
        <f t="shared" si="26"/>
        <v/>
      </c>
      <c r="EP25" s="22"/>
      <c r="EQ25" s="22"/>
      <c r="ER25" s="22"/>
      <c r="ES25" s="29" t="str">
        <f t="shared" si="27"/>
        <v/>
      </c>
      <c r="ET25" s="22"/>
      <c r="EU25" s="22"/>
      <c r="EV25" s="22"/>
      <c r="EW25" s="29" t="str">
        <f t="shared" si="28"/>
        <v/>
      </c>
      <c r="EX25" s="22"/>
      <c r="EY25" s="22"/>
      <c r="EZ25" s="22"/>
      <c r="FA25" s="29" t="str">
        <f t="shared" si="29"/>
        <v/>
      </c>
      <c r="FB25" s="22"/>
      <c r="FC25" s="22"/>
      <c r="FD25" s="22"/>
      <c r="FE25" s="29" t="str">
        <f t="shared" si="30"/>
        <v/>
      </c>
      <c r="FF25" s="22"/>
      <c r="FG25" s="22"/>
      <c r="FH25" s="22"/>
      <c r="FI25" s="29" t="str">
        <f t="shared" si="31"/>
        <v/>
      </c>
      <c r="FJ25" s="22"/>
      <c r="FK25" s="22"/>
      <c r="FL25" s="22"/>
      <c r="FM25" s="29" t="str">
        <f t="shared" si="32"/>
        <v/>
      </c>
      <c r="FN25" s="22"/>
      <c r="FO25" s="22"/>
      <c r="FP25" s="22"/>
      <c r="FQ25" s="29" t="str">
        <f t="shared" si="33"/>
        <v/>
      </c>
      <c r="FR25" s="22"/>
      <c r="FS25" s="22"/>
      <c r="FT25" s="22"/>
    </row>
    <row r="26" spans="1:176" x14ac:dyDescent="0.2">
      <c r="A26" s="30" t="str">
        <f t="shared" si="34"/>
        <v xml:space="preserve"> </v>
      </c>
      <c r="B26" s="23"/>
      <c r="C26" s="23"/>
      <c r="D26" s="23"/>
      <c r="E26" s="22"/>
      <c r="F26" s="22"/>
      <c r="G26" s="22"/>
      <c r="H26" s="29" t="str">
        <f t="shared" si="69"/>
        <v/>
      </c>
      <c r="I26" s="22"/>
      <c r="J26" s="22"/>
      <c r="K26" s="22"/>
      <c r="L26" s="29" t="str">
        <f t="shared" si="70"/>
        <v/>
      </c>
      <c r="M26" s="22"/>
      <c r="N26" s="22"/>
      <c r="O26" s="22"/>
      <c r="P26" s="29" t="str">
        <f t="shared" si="71"/>
        <v/>
      </c>
      <c r="Q26" s="22"/>
      <c r="R26" s="32" t="str">
        <f t="shared" si="72"/>
        <v/>
      </c>
      <c r="S26" s="24"/>
      <c r="T26" s="22"/>
      <c r="U26" s="32" t="str">
        <f t="shared" si="73"/>
        <v/>
      </c>
      <c r="V26" s="22"/>
      <c r="W26" s="22"/>
      <c r="X26" s="22"/>
      <c r="Y26" s="32" t="str">
        <f t="shared" si="74"/>
        <v/>
      </c>
      <c r="Z26" s="22"/>
      <c r="AA26" s="22"/>
      <c r="AB26" s="22"/>
      <c r="AC26" s="29" t="str">
        <f t="shared" si="53"/>
        <v/>
      </c>
      <c r="AD26" s="22"/>
      <c r="AE26" s="22"/>
      <c r="AF26" s="22"/>
      <c r="AG26" s="29" t="str">
        <f t="shared" si="54"/>
        <v/>
      </c>
      <c r="AH26" s="22"/>
      <c r="AI26" s="22"/>
      <c r="AJ26" s="22"/>
      <c r="AK26" s="29" t="str">
        <f t="shared" si="55"/>
        <v/>
      </c>
      <c r="AL26" s="22"/>
      <c r="AM26" s="22"/>
      <c r="AN26" s="22"/>
      <c r="AO26" s="29" t="str">
        <f t="shared" si="75"/>
        <v/>
      </c>
      <c r="AP26" s="22"/>
      <c r="AQ26" s="22"/>
      <c r="AR26" s="22"/>
      <c r="AS26" s="29" t="str">
        <f t="shared" si="76"/>
        <v/>
      </c>
      <c r="AT26" s="22"/>
      <c r="AU26" s="22"/>
      <c r="AV26" s="22"/>
      <c r="AW26" s="29" t="str">
        <f t="shared" si="77"/>
        <v/>
      </c>
      <c r="AX26" s="24"/>
      <c r="AY26" s="22"/>
      <c r="AZ26" s="22"/>
      <c r="BA26" s="29" t="str">
        <f t="shared" si="78"/>
        <v/>
      </c>
      <c r="BB26" s="22"/>
      <c r="BC26" s="22"/>
      <c r="BD26" s="22"/>
      <c r="BE26" s="29" t="str">
        <f t="shared" si="56"/>
        <v/>
      </c>
      <c r="BF26" s="22"/>
      <c r="BG26" s="22"/>
      <c r="BH26" s="22"/>
      <c r="BI26" s="29" t="str">
        <f t="shared" si="57"/>
        <v/>
      </c>
      <c r="BJ26" s="22"/>
      <c r="BK26" s="22"/>
      <c r="BL26" s="22"/>
      <c r="BM26" s="29" t="str">
        <f t="shared" si="58"/>
        <v/>
      </c>
      <c r="BN26" s="22"/>
      <c r="BO26" s="22"/>
      <c r="BP26" s="22"/>
      <c r="BQ26" s="29" t="str">
        <f t="shared" si="59"/>
        <v/>
      </c>
      <c r="BR26" s="22"/>
      <c r="BS26" s="22"/>
      <c r="BT26" s="22"/>
      <c r="BU26" s="29" t="str">
        <f t="shared" si="60"/>
        <v/>
      </c>
      <c r="BV26" s="22"/>
      <c r="BW26" s="22"/>
      <c r="BX26" s="22"/>
      <c r="BY26" s="29" t="str">
        <f t="shared" si="79"/>
        <v/>
      </c>
      <c r="BZ26" s="22"/>
      <c r="CA26" s="22"/>
      <c r="CB26" s="29" t="str">
        <f t="shared" si="61"/>
        <v/>
      </c>
      <c r="CC26" s="22"/>
      <c r="CD26" s="22"/>
      <c r="CE26" s="29" t="str">
        <f t="shared" si="62"/>
        <v/>
      </c>
      <c r="CF26" s="22"/>
      <c r="CG26" s="22"/>
      <c r="CH26" s="22"/>
      <c r="CI26" s="29" t="str">
        <f t="shared" si="63"/>
        <v/>
      </c>
      <c r="CJ26" s="22"/>
      <c r="CK26" s="22"/>
      <c r="CL26" s="22"/>
      <c r="CM26" s="29" t="str">
        <f t="shared" si="64"/>
        <v/>
      </c>
      <c r="CN26" s="22"/>
      <c r="CO26" s="22"/>
      <c r="CP26" s="22"/>
      <c r="CQ26" s="29" t="str">
        <f t="shared" si="65"/>
        <v/>
      </c>
      <c r="CR26" s="22"/>
      <c r="CS26" s="22"/>
      <c r="CT26" s="29" t="str">
        <f t="shared" si="80"/>
        <v/>
      </c>
      <c r="CU26" s="22"/>
      <c r="CV26" s="22"/>
      <c r="CW26" s="22"/>
      <c r="CX26" s="29" t="str">
        <f t="shared" si="66"/>
        <v/>
      </c>
      <c r="CY26" s="22"/>
      <c r="CZ26" s="22"/>
      <c r="DA26" s="22"/>
      <c r="DB26" s="29" t="str">
        <f t="shared" si="67"/>
        <v/>
      </c>
      <c r="DC26" s="22"/>
      <c r="DD26" s="22"/>
      <c r="DE26" s="29" t="str">
        <f t="shared" si="81"/>
        <v/>
      </c>
      <c r="DF26" s="22"/>
      <c r="DG26" s="22"/>
      <c r="DH26" s="22"/>
      <c r="DI26" s="29" t="str">
        <f t="shared" si="68"/>
        <v/>
      </c>
      <c r="DJ26" s="22"/>
      <c r="DK26" s="22"/>
      <c r="DL26" s="22"/>
      <c r="DM26" s="29" t="str">
        <f t="shared" si="50"/>
        <v/>
      </c>
      <c r="DN26" s="22"/>
      <c r="DO26" s="22"/>
      <c r="DP26" s="22"/>
      <c r="DQ26" s="29" t="str">
        <f t="shared" si="51"/>
        <v/>
      </c>
      <c r="DR26" s="22"/>
      <c r="DS26" s="22"/>
      <c r="DT26" s="22"/>
      <c r="DU26" s="29" t="str">
        <f t="shared" si="52"/>
        <v/>
      </c>
      <c r="DV26" s="22"/>
      <c r="DW26" s="22"/>
      <c r="DX26" s="22"/>
      <c r="DY26" s="29" t="str">
        <f t="shared" si="22"/>
        <v/>
      </c>
      <c r="DZ26" s="22"/>
      <c r="EA26" s="22"/>
      <c r="EB26" s="22"/>
      <c r="EC26" s="29" t="str">
        <f t="shared" si="23"/>
        <v/>
      </c>
      <c r="ED26" s="22"/>
      <c r="EE26" s="22"/>
      <c r="EF26" s="22"/>
      <c r="EG26" s="29" t="str">
        <f t="shared" si="24"/>
        <v/>
      </c>
      <c r="EH26" s="22"/>
      <c r="EI26" s="22"/>
      <c r="EJ26" s="22"/>
      <c r="EK26" s="29" t="str">
        <f t="shared" si="25"/>
        <v/>
      </c>
      <c r="EL26" s="22"/>
      <c r="EM26" s="22"/>
      <c r="EN26" s="22"/>
      <c r="EO26" s="29" t="str">
        <f t="shared" si="26"/>
        <v/>
      </c>
      <c r="EP26" s="22"/>
      <c r="EQ26" s="22"/>
      <c r="ER26" s="22"/>
      <c r="ES26" s="29" t="str">
        <f t="shared" si="27"/>
        <v/>
      </c>
      <c r="ET26" s="22"/>
      <c r="EU26" s="22"/>
      <c r="EV26" s="22"/>
      <c r="EW26" s="29" t="str">
        <f t="shared" si="28"/>
        <v/>
      </c>
      <c r="EX26" s="22"/>
      <c r="EY26" s="22"/>
      <c r="EZ26" s="22"/>
      <c r="FA26" s="29" t="str">
        <f t="shared" si="29"/>
        <v/>
      </c>
      <c r="FB26" s="22"/>
      <c r="FC26" s="22"/>
      <c r="FD26" s="22"/>
      <c r="FE26" s="29" t="str">
        <f t="shared" si="30"/>
        <v/>
      </c>
      <c r="FF26" s="22"/>
      <c r="FG26" s="22"/>
      <c r="FH26" s="22"/>
      <c r="FI26" s="29" t="str">
        <f t="shared" si="31"/>
        <v/>
      </c>
      <c r="FJ26" s="22"/>
      <c r="FK26" s="22"/>
      <c r="FL26" s="22"/>
      <c r="FM26" s="29" t="str">
        <f t="shared" si="32"/>
        <v/>
      </c>
      <c r="FN26" s="22"/>
      <c r="FO26" s="22"/>
      <c r="FP26" s="22"/>
      <c r="FQ26" s="29" t="str">
        <f t="shared" si="33"/>
        <v/>
      </c>
      <c r="FR26" s="22"/>
      <c r="FS26" s="22"/>
      <c r="FT26" s="22"/>
    </row>
    <row r="27" spans="1:176" x14ac:dyDescent="0.2">
      <c r="A27" s="30" t="str">
        <f t="shared" si="34"/>
        <v xml:space="preserve"> </v>
      </c>
      <c r="B27" s="23"/>
      <c r="C27" s="23"/>
      <c r="D27" s="23"/>
      <c r="E27" s="22"/>
      <c r="F27" s="22"/>
      <c r="G27" s="22"/>
      <c r="H27" s="29" t="str">
        <f t="shared" si="69"/>
        <v/>
      </c>
      <c r="I27" s="22"/>
      <c r="J27" s="22"/>
      <c r="K27" s="22"/>
      <c r="L27" s="29" t="str">
        <f t="shared" si="70"/>
        <v/>
      </c>
      <c r="M27" s="22"/>
      <c r="N27" s="22"/>
      <c r="O27" s="22"/>
      <c r="P27" s="29" t="str">
        <f t="shared" si="71"/>
        <v/>
      </c>
      <c r="Q27" s="22"/>
      <c r="R27" s="32" t="str">
        <f t="shared" si="72"/>
        <v/>
      </c>
      <c r="S27" s="24"/>
      <c r="T27" s="22"/>
      <c r="U27" s="32" t="str">
        <f t="shared" si="73"/>
        <v/>
      </c>
      <c r="V27" s="22"/>
      <c r="W27" s="22"/>
      <c r="X27" s="22"/>
      <c r="Y27" s="32" t="str">
        <f t="shared" si="74"/>
        <v/>
      </c>
      <c r="Z27" s="22"/>
      <c r="AA27" s="22"/>
      <c r="AB27" s="22"/>
      <c r="AC27" s="29" t="str">
        <f t="shared" si="53"/>
        <v/>
      </c>
      <c r="AD27" s="22"/>
      <c r="AE27" s="22"/>
      <c r="AF27" s="22"/>
      <c r="AG27" s="29" t="str">
        <f t="shared" si="54"/>
        <v/>
      </c>
      <c r="AH27" s="22"/>
      <c r="AI27" s="22"/>
      <c r="AJ27" s="22"/>
      <c r="AK27" s="29" t="str">
        <f t="shared" si="55"/>
        <v/>
      </c>
      <c r="AL27" s="22"/>
      <c r="AM27" s="22"/>
      <c r="AN27" s="22"/>
      <c r="AO27" s="29" t="str">
        <f t="shared" si="75"/>
        <v/>
      </c>
      <c r="AP27" s="22"/>
      <c r="AQ27" s="22"/>
      <c r="AR27" s="22"/>
      <c r="AS27" s="29" t="str">
        <f t="shared" si="76"/>
        <v/>
      </c>
      <c r="AT27" s="22"/>
      <c r="AU27" s="22"/>
      <c r="AV27" s="22"/>
      <c r="AW27" s="29" t="str">
        <f t="shared" si="77"/>
        <v/>
      </c>
      <c r="AX27" s="24"/>
      <c r="AY27" s="22"/>
      <c r="AZ27" s="22"/>
      <c r="BA27" s="29" t="str">
        <f t="shared" si="78"/>
        <v/>
      </c>
      <c r="BB27" s="22"/>
      <c r="BC27" s="22"/>
      <c r="BD27" s="22"/>
      <c r="BE27" s="29" t="str">
        <f t="shared" si="56"/>
        <v/>
      </c>
      <c r="BF27" s="22"/>
      <c r="BG27" s="22"/>
      <c r="BH27" s="22"/>
      <c r="BI27" s="29" t="str">
        <f t="shared" si="57"/>
        <v/>
      </c>
      <c r="BJ27" s="22"/>
      <c r="BK27" s="22"/>
      <c r="BL27" s="22"/>
      <c r="BM27" s="29" t="str">
        <f t="shared" si="58"/>
        <v/>
      </c>
      <c r="BN27" s="22"/>
      <c r="BO27" s="22"/>
      <c r="BP27" s="22"/>
      <c r="BQ27" s="29" t="str">
        <f t="shared" si="59"/>
        <v/>
      </c>
      <c r="BR27" s="22"/>
      <c r="BS27" s="22"/>
      <c r="BT27" s="22"/>
      <c r="BU27" s="29" t="str">
        <f t="shared" si="60"/>
        <v/>
      </c>
      <c r="BV27" s="22"/>
      <c r="BW27" s="22"/>
      <c r="BX27" s="22"/>
      <c r="BY27" s="29" t="str">
        <f t="shared" si="79"/>
        <v/>
      </c>
      <c r="BZ27" s="22"/>
      <c r="CA27" s="22"/>
      <c r="CB27" s="29" t="str">
        <f t="shared" si="61"/>
        <v/>
      </c>
      <c r="CC27" s="22"/>
      <c r="CD27" s="22"/>
      <c r="CE27" s="29" t="str">
        <f t="shared" si="62"/>
        <v/>
      </c>
      <c r="CF27" s="22"/>
      <c r="CG27" s="22"/>
      <c r="CH27" s="22"/>
      <c r="CI27" s="29" t="str">
        <f t="shared" si="63"/>
        <v/>
      </c>
      <c r="CJ27" s="22"/>
      <c r="CK27" s="22"/>
      <c r="CL27" s="22"/>
      <c r="CM27" s="29" t="str">
        <f t="shared" si="64"/>
        <v/>
      </c>
      <c r="CN27" s="22"/>
      <c r="CO27" s="22"/>
      <c r="CP27" s="22"/>
      <c r="CQ27" s="29" t="str">
        <f t="shared" si="65"/>
        <v/>
      </c>
      <c r="CR27" s="22"/>
      <c r="CS27" s="22"/>
      <c r="CT27" s="29" t="str">
        <f t="shared" si="80"/>
        <v/>
      </c>
      <c r="CU27" s="22"/>
      <c r="CV27" s="22"/>
      <c r="CW27" s="22"/>
      <c r="CX27" s="29" t="str">
        <f t="shared" si="66"/>
        <v/>
      </c>
      <c r="CY27" s="22"/>
      <c r="CZ27" s="22"/>
      <c r="DA27" s="22"/>
      <c r="DB27" s="29" t="str">
        <f t="shared" si="67"/>
        <v/>
      </c>
      <c r="DC27" s="22"/>
      <c r="DD27" s="22"/>
      <c r="DE27" s="29" t="str">
        <f t="shared" si="81"/>
        <v/>
      </c>
      <c r="DF27" s="22"/>
      <c r="DG27" s="22"/>
      <c r="DH27" s="22"/>
      <c r="DI27" s="29" t="str">
        <f t="shared" si="68"/>
        <v/>
      </c>
      <c r="DJ27" s="22"/>
      <c r="DK27" s="22"/>
      <c r="DL27" s="22"/>
      <c r="DM27" s="29" t="str">
        <f t="shared" si="50"/>
        <v/>
      </c>
      <c r="DN27" s="22"/>
      <c r="DO27" s="22"/>
      <c r="DP27" s="22"/>
      <c r="DQ27" s="29" t="str">
        <f t="shared" si="51"/>
        <v/>
      </c>
      <c r="DR27" s="22"/>
      <c r="DS27" s="22"/>
      <c r="DT27" s="22"/>
      <c r="DU27" s="29" t="str">
        <f t="shared" si="52"/>
        <v/>
      </c>
      <c r="DV27" s="22"/>
      <c r="DW27" s="22"/>
      <c r="DX27" s="22"/>
      <c r="DY27" s="29" t="str">
        <f t="shared" si="22"/>
        <v/>
      </c>
      <c r="DZ27" s="22"/>
      <c r="EA27" s="22"/>
      <c r="EB27" s="22"/>
      <c r="EC27" s="29" t="str">
        <f t="shared" si="23"/>
        <v/>
      </c>
      <c r="ED27" s="22"/>
      <c r="EE27" s="22"/>
      <c r="EF27" s="22"/>
      <c r="EG27" s="29" t="str">
        <f t="shared" si="24"/>
        <v/>
      </c>
      <c r="EH27" s="22"/>
      <c r="EI27" s="22"/>
      <c r="EJ27" s="22"/>
      <c r="EK27" s="29" t="str">
        <f t="shared" si="25"/>
        <v/>
      </c>
      <c r="EL27" s="22"/>
      <c r="EM27" s="22"/>
      <c r="EN27" s="22"/>
      <c r="EO27" s="29" t="str">
        <f t="shared" si="26"/>
        <v/>
      </c>
      <c r="EP27" s="22"/>
      <c r="EQ27" s="22"/>
      <c r="ER27" s="22"/>
      <c r="ES27" s="29" t="str">
        <f t="shared" si="27"/>
        <v/>
      </c>
      <c r="ET27" s="22"/>
      <c r="EU27" s="22"/>
      <c r="EV27" s="22"/>
      <c r="EW27" s="29" t="str">
        <f t="shared" si="28"/>
        <v/>
      </c>
      <c r="EX27" s="22"/>
      <c r="EY27" s="22"/>
      <c r="EZ27" s="22"/>
      <c r="FA27" s="29" t="str">
        <f t="shared" si="29"/>
        <v/>
      </c>
      <c r="FB27" s="22"/>
      <c r="FC27" s="22"/>
      <c r="FD27" s="22"/>
      <c r="FE27" s="29" t="str">
        <f t="shared" si="30"/>
        <v/>
      </c>
      <c r="FF27" s="22"/>
      <c r="FG27" s="22"/>
      <c r="FH27" s="22"/>
      <c r="FI27" s="29" t="str">
        <f t="shared" si="31"/>
        <v/>
      </c>
      <c r="FJ27" s="22"/>
      <c r="FK27" s="22"/>
      <c r="FL27" s="22"/>
      <c r="FM27" s="29" t="str">
        <f t="shared" si="32"/>
        <v/>
      </c>
      <c r="FN27" s="22"/>
      <c r="FO27" s="22"/>
      <c r="FP27" s="22"/>
      <c r="FQ27" s="29" t="str">
        <f t="shared" si="33"/>
        <v/>
      </c>
      <c r="FR27" s="22"/>
      <c r="FS27" s="22"/>
      <c r="FT27" s="22"/>
    </row>
    <row r="28" spans="1:176" x14ac:dyDescent="0.2">
      <c r="A28" s="30" t="str">
        <f t="shared" si="34"/>
        <v xml:space="preserve"> </v>
      </c>
      <c r="B28" s="23"/>
      <c r="C28" s="23"/>
      <c r="D28" s="23"/>
      <c r="E28" s="22"/>
      <c r="F28" s="22"/>
      <c r="G28" s="22"/>
      <c r="H28" s="29" t="str">
        <f t="shared" si="69"/>
        <v/>
      </c>
      <c r="I28" s="22"/>
      <c r="J28" s="22"/>
      <c r="K28" s="22"/>
      <c r="L28" s="29" t="str">
        <f t="shared" si="70"/>
        <v/>
      </c>
      <c r="M28" s="22"/>
      <c r="N28" s="22"/>
      <c r="O28" s="22"/>
      <c r="P28" s="29" t="str">
        <f t="shared" si="71"/>
        <v/>
      </c>
      <c r="Q28" s="22"/>
      <c r="R28" s="32" t="str">
        <f t="shared" si="72"/>
        <v/>
      </c>
      <c r="S28" s="24"/>
      <c r="T28" s="22"/>
      <c r="U28" s="32" t="str">
        <f t="shared" si="73"/>
        <v/>
      </c>
      <c r="V28" s="22"/>
      <c r="W28" s="22"/>
      <c r="X28" s="22"/>
      <c r="Y28" s="32" t="str">
        <f t="shared" si="74"/>
        <v/>
      </c>
      <c r="Z28" s="22"/>
      <c r="AA28" s="22"/>
      <c r="AB28" s="22"/>
      <c r="AC28" s="29" t="str">
        <f t="shared" si="53"/>
        <v/>
      </c>
      <c r="AD28" s="22"/>
      <c r="AE28" s="22"/>
      <c r="AF28" s="22"/>
      <c r="AG28" s="29" t="str">
        <f t="shared" si="54"/>
        <v/>
      </c>
      <c r="AH28" s="22"/>
      <c r="AI28" s="22"/>
      <c r="AJ28" s="22"/>
      <c r="AK28" s="29" t="str">
        <f t="shared" si="55"/>
        <v/>
      </c>
      <c r="AL28" s="22"/>
      <c r="AM28" s="22"/>
      <c r="AN28" s="22"/>
      <c r="AO28" s="29" t="str">
        <f t="shared" si="75"/>
        <v/>
      </c>
      <c r="AP28" s="22"/>
      <c r="AQ28" s="22"/>
      <c r="AR28" s="22"/>
      <c r="AS28" s="29" t="str">
        <f t="shared" si="76"/>
        <v/>
      </c>
      <c r="AT28" s="22"/>
      <c r="AU28" s="22"/>
      <c r="AV28" s="22"/>
      <c r="AW28" s="29" t="str">
        <f t="shared" si="77"/>
        <v/>
      </c>
      <c r="AX28" s="24"/>
      <c r="AY28" s="22"/>
      <c r="AZ28" s="22"/>
      <c r="BA28" s="29" t="str">
        <f t="shared" si="78"/>
        <v/>
      </c>
      <c r="BB28" s="22"/>
      <c r="BC28" s="22"/>
      <c r="BD28" s="22"/>
      <c r="BE28" s="29" t="str">
        <f t="shared" si="56"/>
        <v/>
      </c>
      <c r="BF28" s="22"/>
      <c r="BG28" s="22"/>
      <c r="BH28" s="22"/>
      <c r="BI28" s="29" t="str">
        <f t="shared" si="57"/>
        <v/>
      </c>
      <c r="BJ28" s="22"/>
      <c r="BK28" s="22"/>
      <c r="BL28" s="22"/>
      <c r="BM28" s="29" t="str">
        <f t="shared" si="58"/>
        <v/>
      </c>
      <c r="BN28" s="22"/>
      <c r="BO28" s="22"/>
      <c r="BP28" s="22"/>
      <c r="BQ28" s="29" t="str">
        <f t="shared" si="59"/>
        <v/>
      </c>
      <c r="BR28" s="22"/>
      <c r="BS28" s="22"/>
      <c r="BT28" s="22"/>
      <c r="BU28" s="29" t="str">
        <f t="shared" si="60"/>
        <v/>
      </c>
      <c r="BV28" s="22"/>
      <c r="BW28" s="22"/>
      <c r="BX28" s="22"/>
      <c r="BY28" s="29" t="str">
        <f t="shared" si="79"/>
        <v/>
      </c>
      <c r="BZ28" s="22"/>
      <c r="CA28" s="22"/>
      <c r="CB28" s="29" t="str">
        <f t="shared" si="61"/>
        <v/>
      </c>
      <c r="CC28" s="22"/>
      <c r="CD28" s="22"/>
      <c r="CE28" s="29" t="str">
        <f t="shared" si="62"/>
        <v/>
      </c>
      <c r="CF28" s="22"/>
      <c r="CG28" s="22"/>
      <c r="CH28" s="22"/>
      <c r="CI28" s="29" t="str">
        <f t="shared" si="63"/>
        <v/>
      </c>
      <c r="CJ28" s="22"/>
      <c r="CK28" s="22"/>
      <c r="CL28" s="22"/>
      <c r="CM28" s="29" t="str">
        <f t="shared" si="64"/>
        <v/>
      </c>
      <c r="CN28" s="22"/>
      <c r="CO28" s="22"/>
      <c r="CP28" s="22"/>
      <c r="CQ28" s="29" t="str">
        <f t="shared" si="65"/>
        <v/>
      </c>
      <c r="CR28" s="22"/>
      <c r="CS28" s="22"/>
      <c r="CT28" s="29" t="str">
        <f t="shared" si="80"/>
        <v/>
      </c>
      <c r="CU28" s="22"/>
      <c r="CV28" s="22"/>
      <c r="CW28" s="22"/>
      <c r="CX28" s="29" t="str">
        <f t="shared" si="66"/>
        <v/>
      </c>
      <c r="CY28" s="22"/>
      <c r="CZ28" s="22"/>
      <c r="DA28" s="22"/>
      <c r="DB28" s="29" t="str">
        <f t="shared" si="67"/>
        <v/>
      </c>
      <c r="DC28" s="22"/>
      <c r="DD28" s="22"/>
      <c r="DE28" s="29" t="str">
        <f t="shared" si="81"/>
        <v/>
      </c>
      <c r="DF28" s="22"/>
      <c r="DG28" s="22"/>
      <c r="DH28" s="22"/>
      <c r="DI28" s="29" t="str">
        <f t="shared" si="68"/>
        <v/>
      </c>
      <c r="DJ28" s="22"/>
      <c r="DK28" s="22"/>
      <c r="DL28" s="22"/>
      <c r="DM28" s="29" t="str">
        <f t="shared" si="50"/>
        <v/>
      </c>
      <c r="DN28" s="22"/>
      <c r="DO28" s="22"/>
      <c r="DP28" s="22"/>
      <c r="DQ28" s="29" t="str">
        <f t="shared" si="51"/>
        <v/>
      </c>
      <c r="DR28" s="22"/>
      <c r="DS28" s="22"/>
      <c r="DT28" s="22"/>
      <c r="DU28" s="29" t="str">
        <f t="shared" si="52"/>
        <v/>
      </c>
      <c r="DV28" s="22"/>
      <c r="DW28" s="22"/>
      <c r="DX28" s="22"/>
      <c r="DY28" s="29" t="str">
        <f t="shared" si="22"/>
        <v/>
      </c>
      <c r="DZ28" s="22"/>
      <c r="EA28" s="22"/>
      <c r="EB28" s="22"/>
      <c r="EC28" s="29" t="str">
        <f t="shared" si="23"/>
        <v/>
      </c>
      <c r="ED28" s="22"/>
      <c r="EE28" s="22"/>
      <c r="EF28" s="22"/>
      <c r="EG28" s="29" t="str">
        <f t="shared" si="24"/>
        <v/>
      </c>
      <c r="EH28" s="22"/>
      <c r="EI28" s="22"/>
      <c r="EJ28" s="22"/>
      <c r="EK28" s="29" t="str">
        <f t="shared" si="25"/>
        <v/>
      </c>
      <c r="EL28" s="22"/>
      <c r="EM28" s="22"/>
      <c r="EN28" s="22"/>
      <c r="EO28" s="29" t="str">
        <f t="shared" si="26"/>
        <v/>
      </c>
      <c r="EP28" s="22"/>
      <c r="EQ28" s="22"/>
      <c r="ER28" s="22"/>
      <c r="ES28" s="29" t="str">
        <f t="shared" si="27"/>
        <v/>
      </c>
      <c r="ET28" s="22"/>
      <c r="EU28" s="22"/>
      <c r="EV28" s="22"/>
      <c r="EW28" s="29" t="str">
        <f t="shared" si="28"/>
        <v/>
      </c>
      <c r="EX28" s="22"/>
      <c r="EY28" s="22"/>
      <c r="EZ28" s="22"/>
      <c r="FA28" s="29" t="str">
        <f t="shared" si="29"/>
        <v/>
      </c>
      <c r="FB28" s="22"/>
      <c r="FC28" s="22"/>
      <c r="FD28" s="22"/>
      <c r="FE28" s="29" t="str">
        <f t="shared" si="30"/>
        <v/>
      </c>
      <c r="FF28" s="22"/>
      <c r="FG28" s="22"/>
      <c r="FH28" s="22"/>
      <c r="FI28" s="29" t="str">
        <f t="shared" si="31"/>
        <v/>
      </c>
      <c r="FJ28" s="22"/>
      <c r="FK28" s="22"/>
      <c r="FL28" s="22"/>
      <c r="FM28" s="29" t="str">
        <f t="shared" si="32"/>
        <v/>
      </c>
      <c r="FN28" s="22"/>
      <c r="FO28" s="22"/>
      <c r="FP28" s="22"/>
      <c r="FQ28" s="29" t="str">
        <f t="shared" si="33"/>
        <v/>
      </c>
      <c r="FR28" s="22"/>
      <c r="FS28" s="22"/>
      <c r="FT28" s="22"/>
    </row>
    <row r="29" spans="1:176" x14ac:dyDescent="0.2">
      <c r="A29" s="30" t="str">
        <f t="shared" si="34"/>
        <v xml:space="preserve"> </v>
      </c>
      <c r="B29" s="23"/>
      <c r="C29" s="23"/>
      <c r="D29" s="23"/>
      <c r="E29" s="22"/>
      <c r="F29" s="22"/>
      <c r="G29" s="22"/>
      <c r="H29" s="29" t="str">
        <f t="shared" si="69"/>
        <v/>
      </c>
      <c r="I29" s="22"/>
      <c r="J29" s="22"/>
      <c r="K29" s="22"/>
      <c r="L29" s="29" t="str">
        <f t="shared" si="70"/>
        <v/>
      </c>
      <c r="M29" s="22"/>
      <c r="N29" s="22"/>
      <c r="O29" s="22"/>
      <c r="P29" s="29" t="str">
        <f t="shared" si="71"/>
        <v/>
      </c>
      <c r="Q29" s="22"/>
      <c r="R29" s="32" t="str">
        <f t="shared" si="72"/>
        <v/>
      </c>
      <c r="S29" s="24"/>
      <c r="T29" s="22"/>
      <c r="U29" s="32" t="str">
        <f t="shared" si="73"/>
        <v/>
      </c>
      <c r="V29" s="22"/>
      <c r="W29" s="22"/>
      <c r="X29" s="22"/>
      <c r="Y29" s="32" t="str">
        <f t="shared" si="74"/>
        <v/>
      </c>
      <c r="Z29" s="22"/>
      <c r="AA29" s="22"/>
      <c r="AB29" s="22"/>
      <c r="AC29" s="29" t="str">
        <f t="shared" si="53"/>
        <v/>
      </c>
      <c r="AD29" s="22"/>
      <c r="AE29" s="22"/>
      <c r="AF29" s="22"/>
      <c r="AG29" s="29" t="str">
        <f t="shared" si="54"/>
        <v/>
      </c>
      <c r="AH29" s="22"/>
      <c r="AI29" s="22"/>
      <c r="AJ29" s="22"/>
      <c r="AK29" s="29" t="str">
        <f t="shared" si="55"/>
        <v/>
      </c>
      <c r="AL29" s="22"/>
      <c r="AM29" s="22"/>
      <c r="AN29" s="22"/>
      <c r="AO29" s="29" t="str">
        <f t="shared" si="75"/>
        <v/>
      </c>
      <c r="AP29" s="22"/>
      <c r="AQ29" s="22"/>
      <c r="AR29" s="22"/>
      <c r="AS29" s="29" t="str">
        <f t="shared" si="76"/>
        <v/>
      </c>
      <c r="AT29" s="22"/>
      <c r="AU29" s="22"/>
      <c r="AV29" s="22"/>
      <c r="AW29" s="29" t="str">
        <f t="shared" si="77"/>
        <v/>
      </c>
      <c r="AX29" s="24"/>
      <c r="AY29" s="22"/>
      <c r="AZ29" s="22"/>
      <c r="BA29" s="29" t="str">
        <f t="shared" si="78"/>
        <v/>
      </c>
      <c r="BB29" s="22"/>
      <c r="BC29" s="22"/>
      <c r="BD29" s="22"/>
      <c r="BE29" s="29" t="str">
        <f t="shared" si="56"/>
        <v/>
      </c>
      <c r="BF29" s="22"/>
      <c r="BG29" s="22"/>
      <c r="BH29" s="22"/>
      <c r="BI29" s="29" t="str">
        <f t="shared" si="57"/>
        <v/>
      </c>
      <c r="BJ29" s="22"/>
      <c r="BK29" s="22"/>
      <c r="BL29" s="22"/>
      <c r="BM29" s="29" t="str">
        <f t="shared" si="58"/>
        <v/>
      </c>
      <c r="BN29" s="22"/>
      <c r="BO29" s="22"/>
      <c r="BP29" s="22"/>
      <c r="BQ29" s="29" t="str">
        <f t="shared" si="59"/>
        <v/>
      </c>
      <c r="BR29" s="22"/>
      <c r="BS29" s="22"/>
      <c r="BT29" s="22"/>
      <c r="BU29" s="29" t="str">
        <f t="shared" si="60"/>
        <v/>
      </c>
      <c r="BV29" s="22"/>
      <c r="BW29" s="22"/>
      <c r="BX29" s="22"/>
      <c r="BY29" s="29" t="str">
        <f t="shared" si="79"/>
        <v/>
      </c>
      <c r="BZ29" s="22"/>
      <c r="CA29" s="22"/>
      <c r="CB29" s="29" t="str">
        <f t="shared" si="61"/>
        <v/>
      </c>
      <c r="CC29" s="22"/>
      <c r="CD29" s="22"/>
      <c r="CE29" s="29" t="str">
        <f t="shared" si="62"/>
        <v/>
      </c>
      <c r="CF29" s="22"/>
      <c r="CG29" s="22"/>
      <c r="CH29" s="22"/>
      <c r="CI29" s="29" t="str">
        <f t="shared" si="63"/>
        <v/>
      </c>
      <c r="CJ29" s="22"/>
      <c r="CK29" s="22"/>
      <c r="CL29" s="22"/>
      <c r="CM29" s="29" t="str">
        <f t="shared" si="64"/>
        <v/>
      </c>
      <c r="CN29" s="22"/>
      <c r="CO29" s="22"/>
      <c r="CP29" s="22"/>
      <c r="CQ29" s="29" t="str">
        <f t="shared" si="65"/>
        <v/>
      </c>
      <c r="CR29" s="22"/>
      <c r="CS29" s="22"/>
      <c r="CT29" s="29" t="str">
        <f t="shared" si="80"/>
        <v/>
      </c>
      <c r="CU29" s="22"/>
      <c r="CV29" s="22"/>
      <c r="CW29" s="22"/>
      <c r="CX29" s="29" t="str">
        <f t="shared" si="66"/>
        <v/>
      </c>
      <c r="CY29" s="22"/>
      <c r="CZ29" s="22"/>
      <c r="DA29" s="22"/>
      <c r="DB29" s="29" t="str">
        <f t="shared" si="67"/>
        <v/>
      </c>
      <c r="DC29" s="22"/>
      <c r="DD29" s="22"/>
      <c r="DE29" s="29" t="str">
        <f t="shared" si="81"/>
        <v/>
      </c>
      <c r="DF29" s="22"/>
      <c r="DG29" s="22"/>
      <c r="DH29" s="22"/>
      <c r="DI29" s="29" t="str">
        <f t="shared" si="68"/>
        <v/>
      </c>
      <c r="DJ29" s="22"/>
      <c r="DK29" s="22"/>
      <c r="DL29" s="22"/>
      <c r="DM29" s="29" t="str">
        <f t="shared" si="50"/>
        <v/>
      </c>
      <c r="DN29" s="22"/>
      <c r="DO29" s="22"/>
      <c r="DP29" s="22"/>
      <c r="DQ29" s="29" t="str">
        <f t="shared" si="51"/>
        <v/>
      </c>
      <c r="DR29" s="22"/>
      <c r="DS29" s="22"/>
      <c r="DT29" s="22"/>
      <c r="DU29" s="29" t="str">
        <f t="shared" si="52"/>
        <v/>
      </c>
      <c r="DV29" s="22"/>
      <c r="DW29" s="22"/>
      <c r="DX29" s="22"/>
      <c r="DY29" s="29" t="str">
        <f t="shared" si="22"/>
        <v/>
      </c>
      <c r="DZ29" s="22"/>
      <c r="EA29" s="22"/>
      <c r="EB29" s="22"/>
      <c r="EC29" s="29" t="str">
        <f t="shared" si="23"/>
        <v/>
      </c>
      <c r="ED29" s="22"/>
      <c r="EE29" s="22"/>
      <c r="EF29" s="22"/>
      <c r="EG29" s="29" t="str">
        <f t="shared" si="24"/>
        <v/>
      </c>
      <c r="EH29" s="22"/>
      <c r="EI29" s="22"/>
      <c r="EJ29" s="22"/>
      <c r="EK29" s="29" t="str">
        <f t="shared" si="25"/>
        <v/>
      </c>
      <c r="EL29" s="22"/>
      <c r="EM29" s="22"/>
      <c r="EN29" s="22"/>
      <c r="EO29" s="29" t="str">
        <f t="shared" si="26"/>
        <v/>
      </c>
      <c r="EP29" s="22"/>
      <c r="EQ29" s="22"/>
      <c r="ER29" s="22"/>
      <c r="ES29" s="29" t="str">
        <f t="shared" si="27"/>
        <v/>
      </c>
      <c r="ET29" s="22"/>
      <c r="EU29" s="22"/>
      <c r="EV29" s="22"/>
      <c r="EW29" s="29" t="str">
        <f t="shared" si="28"/>
        <v/>
      </c>
      <c r="EX29" s="22"/>
      <c r="EY29" s="22"/>
      <c r="EZ29" s="22"/>
      <c r="FA29" s="29" t="str">
        <f t="shared" si="29"/>
        <v/>
      </c>
      <c r="FB29" s="22"/>
      <c r="FC29" s="22"/>
      <c r="FD29" s="22"/>
      <c r="FE29" s="29" t="str">
        <f t="shared" si="30"/>
        <v/>
      </c>
      <c r="FF29" s="22"/>
      <c r="FG29" s="22"/>
      <c r="FH29" s="22"/>
      <c r="FI29" s="29" t="str">
        <f t="shared" si="31"/>
        <v/>
      </c>
      <c r="FJ29" s="22"/>
      <c r="FK29" s="22"/>
      <c r="FL29" s="22"/>
      <c r="FM29" s="29" t="str">
        <f t="shared" si="32"/>
        <v/>
      </c>
      <c r="FN29" s="22"/>
      <c r="FO29" s="22"/>
      <c r="FP29" s="22"/>
      <c r="FQ29" s="29" t="str">
        <f t="shared" si="33"/>
        <v/>
      </c>
      <c r="FR29" s="22"/>
      <c r="FS29" s="22"/>
      <c r="FT29" s="22"/>
    </row>
    <row r="30" spans="1:176" x14ac:dyDescent="0.2">
      <c r="A30" s="30" t="str">
        <f t="shared" si="34"/>
        <v xml:space="preserve"> </v>
      </c>
      <c r="B30" s="23"/>
      <c r="C30" s="23"/>
      <c r="D30" s="23"/>
      <c r="E30" s="22"/>
      <c r="F30" s="22"/>
      <c r="G30" s="22"/>
      <c r="H30" s="29" t="str">
        <f t="shared" si="69"/>
        <v/>
      </c>
      <c r="I30" s="22"/>
      <c r="J30" s="22"/>
      <c r="K30" s="22"/>
      <c r="L30" s="29" t="str">
        <f t="shared" si="70"/>
        <v/>
      </c>
      <c r="M30" s="22"/>
      <c r="N30" s="22"/>
      <c r="O30" s="22"/>
      <c r="P30" s="29" t="str">
        <f t="shared" si="71"/>
        <v/>
      </c>
      <c r="Q30" s="22"/>
      <c r="R30" s="32" t="str">
        <f t="shared" si="72"/>
        <v/>
      </c>
      <c r="S30" s="24"/>
      <c r="T30" s="22"/>
      <c r="U30" s="32" t="str">
        <f t="shared" si="73"/>
        <v/>
      </c>
      <c r="V30" s="22"/>
      <c r="W30" s="22"/>
      <c r="X30" s="22"/>
      <c r="Y30" s="32" t="str">
        <f t="shared" si="74"/>
        <v/>
      </c>
      <c r="Z30" s="22"/>
      <c r="AA30" s="22"/>
      <c r="AB30" s="22"/>
      <c r="AC30" s="29" t="str">
        <f t="shared" si="53"/>
        <v/>
      </c>
      <c r="AD30" s="22"/>
      <c r="AE30" s="22"/>
      <c r="AF30" s="22"/>
      <c r="AG30" s="29" t="str">
        <f t="shared" si="54"/>
        <v/>
      </c>
      <c r="AH30" s="22"/>
      <c r="AI30" s="22"/>
      <c r="AJ30" s="22"/>
      <c r="AK30" s="29" t="str">
        <f t="shared" si="55"/>
        <v/>
      </c>
      <c r="AL30" s="22"/>
      <c r="AM30" s="22"/>
      <c r="AN30" s="22"/>
      <c r="AO30" s="29" t="str">
        <f t="shared" si="75"/>
        <v/>
      </c>
      <c r="AP30" s="22"/>
      <c r="AQ30" s="22"/>
      <c r="AR30" s="22"/>
      <c r="AS30" s="29" t="str">
        <f t="shared" si="76"/>
        <v/>
      </c>
      <c r="AT30" s="22"/>
      <c r="AU30" s="22"/>
      <c r="AV30" s="22"/>
      <c r="AW30" s="29" t="str">
        <f t="shared" si="77"/>
        <v/>
      </c>
      <c r="AX30" s="24"/>
      <c r="AY30" s="22"/>
      <c r="AZ30" s="22"/>
      <c r="BA30" s="29" t="str">
        <f t="shared" si="78"/>
        <v/>
      </c>
      <c r="BB30" s="22"/>
      <c r="BC30" s="22"/>
      <c r="BD30" s="22"/>
      <c r="BE30" s="29" t="str">
        <f t="shared" si="56"/>
        <v/>
      </c>
      <c r="BF30" s="22"/>
      <c r="BG30" s="22"/>
      <c r="BH30" s="22"/>
      <c r="BI30" s="29" t="str">
        <f t="shared" si="57"/>
        <v/>
      </c>
      <c r="BJ30" s="22"/>
      <c r="BK30" s="22"/>
      <c r="BL30" s="22"/>
      <c r="BM30" s="29" t="str">
        <f t="shared" si="58"/>
        <v/>
      </c>
      <c r="BN30" s="22"/>
      <c r="BO30" s="22"/>
      <c r="BP30" s="22"/>
      <c r="BQ30" s="29" t="str">
        <f t="shared" si="59"/>
        <v/>
      </c>
      <c r="BR30" s="22"/>
      <c r="BS30" s="22"/>
      <c r="BT30" s="22"/>
      <c r="BU30" s="29" t="str">
        <f t="shared" si="60"/>
        <v/>
      </c>
      <c r="BV30" s="22"/>
      <c r="BW30" s="22"/>
      <c r="BX30" s="22"/>
      <c r="BY30" s="29" t="str">
        <f t="shared" si="79"/>
        <v/>
      </c>
      <c r="BZ30" s="22"/>
      <c r="CA30" s="22"/>
      <c r="CB30" s="29" t="str">
        <f t="shared" si="61"/>
        <v/>
      </c>
      <c r="CC30" s="22"/>
      <c r="CD30" s="22"/>
      <c r="CE30" s="29" t="str">
        <f t="shared" si="62"/>
        <v/>
      </c>
      <c r="CF30" s="22"/>
      <c r="CG30" s="22"/>
      <c r="CH30" s="22"/>
      <c r="CI30" s="29" t="str">
        <f t="shared" si="63"/>
        <v/>
      </c>
      <c r="CJ30" s="22"/>
      <c r="CK30" s="22"/>
      <c r="CL30" s="22"/>
      <c r="CM30" s="29" t="str">
        <f t="shared" si="64"/>
        <v/>
      </c>
      <c r="CN30" s="22"/>
      <c r="CO30" s="22"/>
      <c r="CP30" s="22"/>
      <c r="CQ30" s="29" t="str">
        <f t="shared" si="65"/>
        <v/>
      </c>
      <c r="CR30" s="22"/>
      <c r="CS30" s="22"/>
      <c r="CT30" s="29" t="str">
        <f t="shared" si="80"/>
        <v/>
      </c>
      <c r="CU30" s="22"/>
      <c r="CV30" s="22"/>
      <c r="CW30" s="22"/>
      <c r="CX30" s="29" t="str">
        <f t="shared" si="66"/>
        <v/>
      </c>
      <c r="CY30" s="22"/>
      <c r="CZ30" s="22"/>
      <c r="DA30" s="22"/>
      <c r="DB30" s="29" t="str">
        <f t="shared" si="67"/>
        <v/>
      </c>
      <c r="DC30" s="22"/>
      <c r="DD30" s="22"/>
      <c r="DE30" s="29" t="str">
        <f t="shared" si="81"/>
        <v/>
      </c>
      <c r="DF30" s="22"/>
      <c r="DG30" s="22"/>
      <c r="DH30" s="22"/>
      <c r="DI30" s="29" t="str">
        <f t="shared" si="68"/>
        <v/>
      </c>
      <c r="DJ30" s="22"/>
      <c r="DK30" s="22"/>
      <c r="DL30" s="22"/>
      <c r="DM30" s="29" t="str">
        <f t="shared" si="50"/>
        <v/>
      </c>
      <c r="DN30" s="22"/>
      <c r="DO30" s="22"/>
      <c r="DP30" s="22"/>
      <c r="DQ30" s="29" t="str">
        <f t="shared" si="51"/>
        <v/>
      </c>
      <c r="DR30" s="22"/>
      <c r="DS30" s="22"/>
      <c r="DT30" s="22"/>
      <c r="DU30" s="29" t="str">
        <f t="shared" si="52"/>
        <v/>
      </c>
      <c r="DV30" s="22"/>
      <c r="DW30" s="22"/>
      <c r="DX30" s="22"/>
      <c r="DY30" s="29" t="str">
        <f t="shared" si="22"/>
        <v/>
      </c>
      <c r="DZ30" s="22"/>
      <c r="EA30" s="22"/>
      <c r="EB30" s="22"/>
      <c r="EC30" s="29" t="str">
        <f t="shared" si="23"/>
        <v/>
      </c>
      <c r="ED30" s="22"/>
      <c r="EE30" s="22"/>
      <c r="EF30" s="22"/>
      <c r="EG30" s="29" t="str">
        <f t="shared" si="24"/>
        <v/>
      </c>
      <c r="EH30" s="22"/>
      <c r="EI30" s="22"/>
      <c r="EJ30" s="22"/>
      <c r="EK30" s="29" t="str">
        <f t="shared" si="25"/>
        <v/>
      </c>
      <c r="EL30" s="22"/>
      <c r="EM30" s="22"/>
      <c r="EN30" s="22"/>
      <c r="EO30" s="29" t="str">
        <f t="shared" si="26"/>
        <v/>
      </c>
      <c r="EP30" s="22"/>
      <c r="EQ30" s="22"/>
      <c r="ER30" s="22"/>
      <c r="ES30" s="29" t="str">
        <f t="shared" si="27"/>
        <v/>
      </c>
      <c r="ET30" s="22"/>
      <c r="EU30" s="22"/>
      <c r="EV30" s="22"/>
      <c r="EW30" s="29" t="str">
        <f t="shared" si="28"/>
        <v/>
      </c>
      <c r="EX30" s="22"/>
      <c r="EY30" s="22"/>
      <c r="EZ30" s="22"/>
      <c r="FA30" s="29" t="str">
        <f t="shared" si="29"/>
        <v/>
      </c>
      <c r="FB30" s="22"/>
      <c r="FC30" s="22"/>
      <c r="FD30" s="22"/>
      <c r="FE30" s="29" t="str">
        <f t="shared" si="30"/>
        <v/>
      </c>
      <c r="FF30" s="22"/>
      <c r="FG30" s="22"/>
      <c r="FH30" s="22"/>
      <c r="FI30" s="29" t="str">
        <f t="shared" si="31"/>
        <v/>
      </c>
      <c r="FJ30" s="22"/>
      <c r="FK30" s="22"/>
      <c r="FL30" s="22"/>
      <c r="FM30" s="29" t="str">
        <f t="shared" si="32"/>
        <v/>
      </c>
      <c r="FN30" s="22"/>
      <c r="FO30" s="22"/>
      <c r="FP30" s="22"/>
      <c r="FQ30" s="29" t="str">
        <f t="shared" si="33"/>
        <v/>
      </c>
      <c r="FR30" s="22"/>
      <c r="FS30" s="22"/>
      <c r="FT30" s="22"/>
    </row>
    <row r="31" spans="1:176" x14ac:dyDescent="0.2">
      <c r="A31" s="30" t="str">
        <f t="shared" si="34"/>
        <v xml:space="preserve"> </v>
      </c>
      <c r="B31" s="23"/>
      <c r="C31" s="23"/>
      <c r="D31" s="23"/>
      <c r="E31" s="22"/>
      <c r="F31" s="22"/>
      <c r="G31" s="22"/>
      <c r="H31" s="29" t="str">
        <f t="shared" si="69"/>
        <v/>
      </c>
      <c r="I31" s="22"/>
      <c r="J31" s="22"/>
      <c r="K31" s="22"/>
      <c r="L31" s="29" t="str">
        <f t="shared" si="70"/>
        <v/>
      </c>
      <c r="M31" s="22"/>
      <c r="N31" s="22"/>
      <c r="O31" s="22"/>
      <c r="P31" s="29" t="str">
        <f t="shared" si="71"/>
        <v/>
      </c>
      <c r="Q31" s="22"/>
      <c r="R31" s="32" t="str">
        <f t="shared" si="72"/>
        <v/>
      </c>
      <c r="S31" s="24"/>
      <c r="T31" s="22"/>
      <c r="U31" s="32" t="str">
        <f t="shared" si="73"/>
        <v/>
      </c>
      <c r="V31" s="22"/>
      <c r="W31" s="22"/>
      <c r="X31" s="22"/>
      <c r="Y31" s="32" t="str">
        <f t="shared" si="74"/>
        <v/>
      </c>
      <c r="Z31" s="22"/>
      <c r="AA31" s="22"/>
      <c r="AB31" s="22"/>
      <c r="AC31" s="29" t="str">
        <f t="shared" si="53"/>
        <v/>
      </c>
      <c r="AD31" s="22"/>
      <c r="AE31" s="22"/>
      <c r="AF31" s="22"/>
      <c r="AG31" s="29" t="str">
        <f t="shared" si="54"/>
        <v/>
      </c>
      <c r="AH31" s="22"/>
      <c r="AI31" s="22"/>
      <c r="AJ31" s="22"/>
      <c r="AK31" s="29" t="str">
        <f t="shared" si="55"/>
        <v/>
      </c>
      <c r="AL31" s="22"/>
      <c r="AM31" s="22"/>
      <c r="AN31" s="22"/>
      <c r="AO31" s="29" t="str">
        <f t="shared" si="75"/>
        <v/>
      </c>
      <c r="AP31" s="22"/>
      <c r="AQ31" s="22"/>
      <c r="AR31" s="22"/>
      <c r="AS31" s="29" t="str">
        <f t="shared" si="76"/>
        <v/>
      </c>
      <c r="AT31" s="22"/>
      <c r="AU31" s="22"/>
      <c r="AV31" s="22"/>
      <c r="AW31" s="29" t="str">
        <f t="shared" si="77"/>
        <v/>
      </c>
      <c r="AX31" s="24"/>
      <c r="AY31" s="22"/>
      <c r="AZ31" s="22"/>
      <c r="BA31" s="29" t="str">
        <f t="shared" si="78"/>
        <v/>
      </c>
      <c r="BB31" s="22"/>
      <c r="BC31" s="22"/>
      <c r="BD31" s="22"/>
      <c r="BE31" s="29" t="str">
        <f t="shared" si="56"/>
        <v/>
      </c>
      <c r="BF31" s="22"/>
      <c r="BG31" s="22"/>
      <c r="BH31" s="22"/>
      <c r="BI31" s="29" t="str">
        <f t="shared" si="57"/>
        <v/>
      </c>
      <c r="BJ31" s="22"/>
      <c r="BK31" s="22"/>
      <c r="BL31" s="22"/>
      <c r="BM31" s="29" t="str">
        <f t="shared" si="58"/>
        <v/>
      </c>
      <c r="BN31" s="22"/>
      <c r="BO31" s="22"/>
      <c r="BP31" s="22"/>
      <c r="BQ31" s="29" t="str">
        <f t="shared" si="59"/>
        <v/>
      </c>
      <c r="BR31" s="22"/>
      <c r="BS31" s="22"/>
      <c r="BT31" s="22"/>
      <c r="BU31" s="29" t="str">
        <f t="shared" si="60"/>
        <v/>
      </c>
      <c r="BV31" s="22"/>
      <c r="BW31" s="22"/>
      <c r="BX31" s="22"/>
      <c r="BY31" s="29" t="str">
        <f t="shared" si="79"/>
        <v/>
      </c>
      <c r="BZ31" s="22"/>
      <c r="CA31" s="22"/>
      <c r="CB31" s="29" t="str">
        <f t="shared" si="61"/>
        <v/>
      </c>
      <c r="CC31" s="22"/>
      <c r="CD31" s="22"/>
      <c r="CE31" s="29" t="str">
        <f t="shared" si="62"/>
        <v/>
      </c>
      <c r="CF31" s="22"/>
      <c r="CG31" s="22"/>
      <c r="CH31" s="22"/>
      <c r="CI31" s="29" t="str">
        <f t="shared" si="63"/>
        <v/>
      </c>
      <c r="CJ31" s="22"/>
      <c r="CK31" s="22"/>
      <c r="CL31" s="22"/>
      <c r="CM31" s="29" t="str">
        <f t="shared" si="64"/>
        <v/>
      </c>
      <c r="CN31" s="22"/>
      <c r="CO31" s="22"/>
      <c r="CP31" s="22"/>
      <c r="CQ31" s="29" t="str">
        <f t="shared" si="65"/>
        <v/>
      </c>
      <c r="CR31" s="22"/>
      <c r="CS31" s="22"/>
      <c r="CT31" s="29" t="str">
        <f t="shared" si="80"/>
        <v/>
      </c>
      <c r="CU31" s="22"/>
      <c r="CV31" s="22"/>
      <c r="CW31" s="22"/>
      <c r="CX31" s="29" t="str">
        <f t="shared" si="66"/>
        <v/>
      </c>
      <c r="CY31" s="22"/>
      <c r="CZ31" s="22"/>
      <c r="DA31" s="22"/>
      <c r="DB31" s="29" t="str">
        <f t="shared" si="67"/>
        <v/>
      </c>
      <c r="DC31" s="22"/>
      <c r="DD31" s="22"/>
      <c r="DE31" s="29" t="str">
        <f t="shared" si="81"/>
        <v/>
      </c>
      <c r="DF31" s="22"/>
      <c r="DG31" s="22"/>
      <c r="DH31" s="22"/>
      <c r="DI31" s="29" t="str">
        <f t="shared" si="68"/>
        <v/>
      </c>
      <c r="DJ31" s="22"/>
      <c r="DK31" s="22"/>
      <c r="DL31" s="22"/>
      <c r="DM31" s="29" t="str">
        <f t="shared" si="50"/>
        <v/>
      </c>
      <c r="DN31" s="22"/>
      <c r="DO31" s="22"/>
      <c r="DP31" s="22"/>
      <c r="DQ31" s="29" t="str">
        <f t="shared" si="51"/>
        <v/>
      </c>
      <c r="DR31" s="22"/>
      <c r="DS31" s="22"/>
      <c r="DT31" s="22"/>
      <c r="DU31" s="29" t="str">
        <f t="shared" si="52"/>
        <v/>
      </c>
      <c r="DV31" s="22"/>
      <c r="DW31" s="22"/>
      <c r="DX31" s="22"/>
      <c r="DY31" s="29" t="str">
        <f t="shared" si="22"/>
        <v/>
      </c>
      <c r="DZ31" s="22"/>
      <c r="EA31" s="22"/>
      <c r="EB31" s="22"/>
      <c r="EC31" s="29" t="str">
        <f t="shared" si="23"/>
        <v/>
      </c>
      <c r="ED31" s="22"/>
      <c r="EE31" s="22"/>
      <c r="EF31" s="22"/>
      <c r="EG31" s="29" t="str">
        <f t="shared" si="24"/>
        <v/>
      </c>
      <c r="EH31" s="22"/>
      <c r="EI31" s="22"/>
      <c r="EJ31" s="22"/>
      <c r="EK31" s="29" t="str">
        <f t="shared" si="25"/>
        <v/>
      </c>
      <c r="EL31" s="22"/>
      <c r="EM31" s="22"/>
      <c r="EN31" s="22"/>
      <c r="EO31" s="29" t="str">
        <f t="shared" si="26"/>
        <v/>
      </c>
      <c r="EP31" s="22"/>
      <c r="EQ31" s="22"/>
      <c r="ER31" s="22"/>
      <c r="ES31" s="29" t="str">
        <f t="shared" si="27"/>
        <v/>
      </c>
      <c r="ET31" s="22"/>
      <c r="EU31" s="22"/>
      <c r="EV31" s="22"/>
      <c r="EW31" s="29" t="str">
        <f t="shared" si="28"/>
        <v/>
      </c>
      <c r="EX31" s="22"/>
      <c r="EY31" s="22"/>
      <c r="EZ31" s="22"/>
      <c r="FA31" s="29" t="str">
        <f t="shared" si="29"/>
        <v/>
      </c>
      <c r="FB31" s="22"/>
      <c r="FC31" s="22"/>
      <c r="FD31" s="22"/>
      <c r="FE31" s="29" t="str">
        <f t="shared" si="30"/>
        <v/>
      </c>
      <c r="FF31" s="22"/>
      <c r="FG31" s="22"/>
      <c r="FH31" s="22"/>
      <c r="FI31" s="29" t="str">
        <f t="shared" si="31"/>
        <v/>
      </c>
      <c r="FJ31" s="22"/>
      <c r="FK31" s="22"/>
      <c r="FL31" s="22"/>
      <c r="FM31" s="29" t="str">
        <f t="shared" si="32"/>
        <v/>
      </c>
      <c r="FN31" s="22"/>
      <c r="FO31" s="22"/>
      <c r="FP31" s="22"/>
      <c r="FQ31" s="29" t="str">
        <f t="shared" si="33"/>
        <v/>
      </c>
      <c r="FR31" s="22"/>
      <c r="FS31" s="22"/>
      <c r="FT31" s="22"/>
    </row>
    <row r="32" spans="1:176" x14ac:dyDescent="0.2">
      <c r="A32" s="30" t="str">
        <f t="shared" si="34"/>
        <v xml:space="preserve"> </v>
      </c>
      <c r="B32" s="23"/>
      <c r="C32" s="23"/>
      <c r="D32" s="23"/>
      <c r="E32" s="22"/>
      <c r="F32" s="22"/>
      <c r="G32" s="22"/>
      <c r="H32" s="29" t="str">
        <f t="shared" si="69"/>
        <v/>
      </c>
      <c r="I32" s="22"/>
      <c r="J32" s="22"/>
      <c r="K32" s="22"/>
      <c r="L32" s="29" t="str">
        <f t="shared" si="70"/>
        <v/>
      </c>
      <c r="M32" s="22"/>
      <c r="N32" s="22"/>
      <c r="O32" s="22"/>
      <c r="P32" s="29" t="str">
        <f t="shared" si="71"/>
        <v/>
      </c>
      <c r="Q32" s="22"/>
      <c r="R32" s="32" t="str">
        <f t="shared" si="72"/>
        <v/>
      </c>
      <c r="S32" s="24"/>
      <c r="T32" s="22"/>
      <c r="U32" s="32" t="str">
        <f t="shared" si="73"/>
        <v/>
      </c>
      <c r="V32" s="22"/>
      <c r="W32" s="22"/>
      <c r="X32" s="22"/>
      <c r="Y32" s="32" t="str">
        <f t="shared" si="74"/>
        <v/>
      </c>
      <c r="Z32" s="22"/>
      <c r="AA32" s="22"/>
      <c r="AB32" s="22"/>
      <c r="AC32" s="29" t="str">
        <f t="shared" si="53"/>
        <v/>
      </c>
      <c r="AD32" s="22"/>
      <c r="AE32" s="22"/>
      <c r="AF32" s="22"/>
      <c r="AG32" s="29" t="str">
        <f t="shared" si="54"/>
        <v/>
      </c>
      <c r="AH32" s="22"/>
      <c r="AI32" s="22"/>
      <c r="AJ32" s="22"/>
      <c r="AK32" s="29" t="str">
        <f t="shared" si="55"/>
        <v/>
      </c>
      <c r="AL32" s="22"/>
      <c r="AM32" s="22"/>
      <c r="AN32" s="22"/>
      <c r="AO32" s="29" t="str">
        <f t="shared" si="75"/>
        <v/>
      </c>
      <c r="AP32" s="22"/>
      <c r="AQ32" s="22"/>
      <c r="AR32" s="22"/>
      <c r="AS32" s="29" t="str">
        <f t="shared" si="76"/>
        <v/>
      </c>
      <c r="AT32" s="22"/>
      <c r="AU32" s="22"/>
      <c r="AV32" s="22"/>
      <c r="AW32" s="29" t="str">
        <f t="shared" si="77"/>
        <v/>
      </c>
      <c r="AX32" s="24"/>
      <c r="AY32" s="22"/>
      <c r="AZ32" s="22"/>
      <c r="BA32" s="29" t="str">
        <f t="shared" si="78"/>
        <v/>
      </c>
      <c r="BB32" s="22"/>
      <c r="BC32" s="22"/>
      <c r="BD32" s="22"/>
      <c r="BE32" s="29" t="str">
        <f t="shared" si="56"/>
        <v/>
      </c>
      <c r="BF32" s="22"/>
      <c r="BG32" s="22"/>
      <c r="BH32" s="22"/>
      <c r="BI32" s="29" t="str">
        <f t="shared" si="57"/>
        <v/>
      </c>
      <c r="BJ32" s="22"/>
      <c r="BK32" s="22"/>
      <c r="BL32" s="22"/>
      <c r="BM32" s="29" t="str">
        <f t="shared" si="58"/>
        <v/>
      </c>
      <c r="BN32" s="22"/>
      <c r="BO32" s="22"/>
      <c r="BP32" s="22"/>
      <c r="BQ32" s="29" t="str">
        <f t="shared" si="59"/>
        <v/>
      </c>
      <c r="BR32" s="22"/>
      <c r="BS32" s="22"/>
      <c r="BT32" s="22"/>
      <c r="BU32" s="29" t="str">
        <f t="shared" si="60"/>
        <v/>
      </c>
      <c r="BV32" s="22"/>
      <c r="BW32" s="22"/>
      <c r="BX32" s="22"/>
      <c r="BY32" s="29" t="str">
        <f t="shared" si="79"/>
        <v/>
      </c>
      <c r="BZ32" s="22"/>
      <c r="CA32" s="22"/>
      <c r="CB32" s="29" t="str">
        <f t="shared" si="61"/>
        <v/>
      </c>
      <c r="CC32" s="22"/>
      <c r="CD32" s="22"/>
      <c r="CE32" s="29" t="str">
        <f t="shared" si="62"/>
        <v/>
      </c>
      <c r="CF32" s="22"/>
      <c r="CG32" s="22"/>
      <c r="CH32" s="22"/>
      <c r="CI32" s="29" t="str">
        <f t="shared" si="63"/>
        <v/>
      </c>
      <c r="CJ32" s="22"/>
      <c r="CK32" s="22"/>
      <c r="CL32" s="22"/>
      <c r="CM32" s="29" t="str">
        <f t="shared" si="64"/>
        <v/>
      </c>
      <c r="CN32" s="22"/>
      <c r="CO32" s="22"/>
      <c r="CP32" s="22"/>
      <c r="CQ32" s="29" t="str">
        <f t="shared" si="65"/>
        <v/>
      </c>
      <c r="CR32" s="22"/>
      <c r="CS32" s="22"/>
      <c r="CT32" s="29" t="str">
        <f t="shared" si="80"/>
        <v/>
      </c>
      <c r="CU32" s="22"/>
      <c r="CV32" s="22"/>
      <c r="CW32" s="22"/>
      <c r="CX32" s="29" t="str">
        <f t="shared" si="66"/>
        <v/>
      </c>
      <c r="CY32" s="22"/>
      <c r="CZ32" s="22"/>
      <c r="DA32" s="22"/>
      <c r="DB32" s="29" t="str">
        <f t="shared" si="67"/>
        <v/>
      </c>
      <c r="DC32" s="22"/>
      <c r="DD32" s="22"/>
      <c r="DE32" s="29" t="str">
        <f t="shared" si="81"/>
        <v/>
      </c>
      <c r="DF32" s="22"/>
      <c r="DG32" s="22"/>
      <c r="DH32" s="22"/>
      <c r="DI32" s="29" t="str">
        <f t="shared" si="68"/>
        <v/>
      </c>
      <c r="DJ32" s="22"/>
      <c r="DK32" s="22"/>
      <c r="DL32" s="22"/>
      <c r="DM32" s="29" t="str">
        <f t="shared" si="50"/>
        <v/>
      </c>
      <c r="DN32" s="22"/>
      <c r="DO32" s="22"/>
      <c r="DP32" s="22"/>
      <c r="DQ32" s="29" t="str">
        <f t="shared" si="51"/>
        <v/>
      </c>
      <c r="DR32" s="22"/>
      <c r="DS32" s="22"/>
      <c r="DT32" s="22"/>
      <c r="DU32" s="29" t="str">
        <f t="shared" si="52"/>
        <v/>
      </c>
      <c r="DV32" s="22"/>
      <c r="DW32" s="22"/>
      <c r="DX32" s="22"/>
      <c r="DY32" s="29" t="str">
        <f t="shared" si="22"/>
        <v/>
      </c>
      <c r="DZ32" s="22"/>
      <c r="EA32" s="22"/>
      <c r="EB32" s="22"/>
      <c r="EC32" s="29" t="str">
        <f t="shared" si="23"/>
        <v/>
      </c>
      <c r="ED32" s="22"/>
      <c r="EE32" s="22"/>
      <c r="EF32" s="22"/>
      <c r="EG32" s="29" t="str">
        <f t="shared" si="24"/>
        <v/>
      </c>
      <c r="EH32" s="22"/>
      <c r="EI32" s="22"/>
      <c r="EJ32" s="22"/>
      <c r="EK32" s="29" t="str">
        <f t="shared" si="25"/>
        <v/>
      </c>
      <c r="EL32" s="22"/>
      <c r="EM32" s="22"/>
      <c r="EN32" s="22"/>
      <c r="EO32" s="29" t="str">
        <f t="shared" si="26"/>
        <v/>
      </c>
      <c r="EP32" s="22"/>
      <c r="EQ32" s="22"/>
      <c r="ER32" s="22"/>
      <c r="ES32" s="29" t="str">
        <f t="shared" si="27"/>
        <v/>
      </c>
      <c r="ET32" s="22"/>
      <c r="EU32" s="22"/>
      <c r="EV32" s="22"/>
      <c r="EW32" s="29" t="str">
        <f t="shared" si="28"/>
        <v/>
      </c>
      <c r="EX32" s="22"/>
      <c r="EY32" s="22"/>
      <c r="EZ32" s="22"/>
      <c r="FA32" s="29" t="str">
        <f t="shared" si="29"/>
        <v/>
      </c>
      <c r="FB32" s="22"/>
      <c r="FC32" s="22"/>
      <c r="FD32" s="22"/>
      <c r="FE32" s="29" t="str">
        <f t="shared" si="30"/>
        <v/>
      </c>
      <c r="FF32" s="22"/>
      <c r="FG32" s="22"/>
      <c r="FH32" s="22"/>
      <c r="FI32" s="29" t="str">
        <f t="shared" si="31"/>
        <v/>
      </c>
      <c r="FJ32" s="22"/>
      <c r="FK32" s="22"/>
      <c r="FL32" s="22"/>
      <c r="FM32" s="29" t="str">
        <f t="shared" si="32"/>
        <v/>
      </c>
      <c r="FN32" s="22"/>
      <c r="FO32" s="22"/>
      <c r="FP32" s="22"/>
      <c r="FQ32" s="29" t="str">
        <f t="shared" si="33"/>
        <v/>
      </c>
      <c r="FR32" s="22"/>
      <c r="FS32" s="22"/>
      <c r="FT32" s="22"/>
    </row>
    <row r="33" spans="1:176" x14ac:dyDescent="0.2">
      <c r="A33" s="30" t="str">
        <f t="shared" si="34"/>
        <v xml:space="preserve"> </v>
      </c>
      <c r="B33" s="23"/>
      <c r="C33" s="23"/>
      <c r="D33" s="23"/>
      <c r="E33" s="22"/>
      <c r="F33" s="22"/>
      <c r="G33" s="22"/>
      <c r="H33" s="29" t="str">
        <f t="shared" si="69"/>
        <v/>
      </c>
      <c r="I33" s="22"/>
      <c r="J33" s="22"/>
      <c r="K33" s="22"/>
      <c r="L33" s="29" t="str">
        <f t="shared" si="70"/>
        <v/>
      </c>
      <c r="M33" s="22"/>
      <c r="N33" s="22"/>
      <c r="O33" s="22"/>
      <c r="P33" s="29" t="str">
        <f t="shared" si="71"/>
        <v/>
      </c>
      <c r="Q33" s="22"/>
      <c r="R33" s="32" t="str">
        <f t="shared" si="72"/>
        <v/>
      </c>
      <c r="S33" s="24"/>
      <c r="T33" s="22"/>
      <c r="U33" s="32" t="str">
        <f t="shared" si="73"/>
        <v/>
      </c>
      <c r="V33" s="22"/>
      <c r="W33" s="22"/>
      <c r="X33" s="22"/>
      <c r="Y33" s="32" t="str">
        <f t="shared" si="74"/>
        <v/>
      </c>
      <c r="Z33" s="22"/>
      <c r="AA33" s="22"/>
      <c r="AB33" s="22"/>
      <c r="AC33" s="29" t="str">
        <f t="shared" si="53"/>
        <v/>
      </c>
      <c r="AD33" s="22"/>
      <c r="AE33" s="22"/>
      <c r="AF33" s="22"/>
      <c r="AG33" s="29" t="str">
        <f t="shared" si="54"/>
        <v/>
      </c>
      <c r="AH33" s="22"/>
      <c r="AI33" s="22"/>
      <c r="AJ33" s="22"/>
      <c r="AK33" s="29" t="str">
        <f t="shared" si="55"/>
        <v/>
      </c>
      <c r="AL33" s="22"/>
      <c r="AM33" s="22"/>
      <c r="AN33" s="22"/>
      <c r="AO33" s="29" t="str">
        <f t="shared" si="75"/>
        <v/>
      </c>
      <c r="AP33" s="22"/>
      <c r="AQ33" s="22"/>
      <c r="AR33" s="22"/>
      <c r="AS33" s="29" t="str">
        <f t="shared" si="76"/>
        <v/>
      </c>
      <c r="AT33" s="22"/>
      <c r="AU33" s="22"/>
      <c r="AV33" s="22"/>
      <c r="AW33" s="29" t="str">
        <f t="shared" si="77"/>
        <v/>
      </c>
      <c r="AX33" s="24"/>
      <c r="AY33" s="22"/>
      <c r="AZ33" s="22"/>
      <c r="BA33" s="29" t="str">
        <f t="shared" si="78"/>
        <v/>
      </c>
      <c r="BB33" s="22"/>
      <c r="BC33" s="22"/>
      <c r="BD33" s="22"/>
      <c r="BE33" s="29" t="str">
        <f t="shared" si="56"/>
        <v/>
      </c>
      <c r="BF33" s="22"/>
      <c r="BG33" s="22"/>
      <c r="BH33" s="22"/>
      <c r="BI33" s="29" t="str">
        <f t="shared" si="57"/>
        <v/>
      </c>
      <c r="BJ33" s="22"/>
      <c r="BK33" s="22"/>
      <c r="BL33" s="22"/>
      <c r="BM33" s="29" t="str">
        <f t="shared" si="58"/>
        <v/>
      </c>
      <c r="BN33" s="22"/>
      <c r="BO33" s="22"/>
      <c r="BP33" s="22"/>
      <c r="BQ33" s="29" t="str">
        <f t="shared" si="59"/>
        <v/>
      </c>
      <c r="BR33" s="22"/>
      <c r="BS33" s="22"/>
      <c r="BT33" s="22"/>
      <c r="BU33" s="29" t="str">
        <f t="shared" si="60"/>
        <v/>
      </c>
      <c r="BV33" s="22"/>
      <c r="BW33" s="22"/>
      <c r="BX33" s="22"/>
      <c r="BY33" s="29" t="str">
        <f t="shared" si="79"/>
        <v/>
      </c>
      <c r="BZ33" s="22"/>
      <c r="CA33" s="22"/>
      <c r="CB33" s="29" t="str">
        <f t="shared" si="61"/>
        <v/>
      </c>
      <c r="CC33" s="22"/>
      <c r="CD33" s="22"/>
      <c r="CE33" s="29" t="str">
        <f t="shared" si="62"/>
        <v/>
      </c>
      <c r="CF33" s="22"/>
      <c r="CG33" s="22"/>
      <c r="CH33" s="22"/>
      <c r="CI33" s="29" t="str">
        <f t="shared" si="63"/>
        <v/>
      </c>
      <c r="CJ33" s="22"/>
      <c r="CK33" s="22"/>
      <c r="CL33" s="22"/>
      <c r="CM33" s="29" t="str">
        <f t="shared" si="64"/>
        <v/>
      </c>
      <c r="CN33" s="22"/>
      <c r="CO33" s="22"/>
      <c r="CP33" s="22"/>
      <c r="CQ33" s="29" t="str">
        <f t="shared" si="65"/>
        <v/>
      </c>
      <c r="CR33" s="22"/>
      <c r="CS33" s="22"/>
      <c r="CT33" s="29" t="str">
        <f t="shared" si="80"/>
        <v/>
      </c>
      <c r="CU33" s="22"/>
      <c r="CV33" s="22"/>
      <c r="CW33" s="22"/>
      <c r="CX33" s="29" t="str">
        <f t="shared" si="66"/>
        <v/>
      </c>
      <c r="CY33" s="22"/>
      <c r="CZ33" s="22"/>
      <c r="DA33" s="22"/>
      <c r="DB33" s="29" t="str">
        <f t="shared" si="67"/>
        <v/>
      </c>
      <c r="DC33" s="22"/>
      <c r="DD33" s="22"/>
      <c r="DE33" s="29" t="str">
        <f t="shared" si="81"/>
        <v/>
      </c>
      <c r="DF33" s="22"/>
      <c r="DG33" s="22"/>
      <c r="DH33" s="22"/>
      <c r="DI33" s="29" t="str">
        <f t="shared" si="68"/>
        <v/>
      </c>
      <c r="DJ33" s="22"/>
      <c r="DK33" s="22"/>
      <c r="DL33" s="22"/>
      <c r="DM33" s="29" t="str">
        <f t="shared" si="50"/>
        <v/>
      </c>
      <c r="DN33" s="22"/>
      <c r="DO33" s="22"/>
      <c r="DP33" s="22"/>
      <c r="DQ33" s="29" t="str">
        <f t="shared" si="51"/>
        <v/>
      </c>
      <c r="DR33" s="22"/>
      <c r="DS33" s="22"/>
      <c r="DT33" s="22"/>
      <c r="DU33" s="29" t="str">
        <f t="shared" si="52"/>
        <v/>
      </c>
      <c r="DV33" s="22"/>
      <c r="DW33" s="22"/>
      <c r="DX33" s="22"/>
      <c r="DY33" s="29" t="str">
        <f t="shared" si="22"/>
        <v/>
      </c>
      <c r="DZ33" s="22"/>
      <c r="EA33" s="22"/>
      <c r="EB33" s="22"/>
      <c r="EC33" s="29" t="str">
        <f t="shared" si="23"/>
        <v/>
      </c>
      <c r="ED33" s="22"/>
      <c r="EE33" s="22"/>
      <c r="EF33" s="22"/>
      <c r="EG33" s="29" t="str">
        <f t="shared" si="24"/>
        <v/>
      </c>
      <c r="EH33" s="22"/>
      <c r="EI33" s="22"/>
      <c r="EJ33" s="22"/>
      <c r="EK33" s="29" t="str">
        <f t="shared" si="25"/>
        <v/>
      </c>
      <c r="EL33" s="22"/>
      <c r="EM33" s="22"/>
      <c r="EN33" s="22"/>
      <c r="EO33" s="29" t="str">
        <f t="shared" si="26"/>
        <v/>
      </c>
      <c r="EP33" s="22"/>
      <c r="EQ33" s="22"/>
      <c r="ER33" s="22"/>
      <c r="ES33" s="29" t="str">
        <f t="shared" si="27"/>
        <v/>
      </c>
      <c r="ET33" s="22"/>
      <c r="EU33" s="22"/>
      <c r="EV33" s="22"/>
      <c r="EW33" s="29" t="str">
        <f t="shared" si="28"/>
        <v/>
      </c>
      <c r="EX33" s="22"/>
      <c r="EY33" s="22"/>
      <c r="EZ33" s="22"/>
      <c r="FA33" s="29" t="str">
        <f t="shared" si="29"/>
        <v/>
      </c>
      <c r="FB33" s="22"/>
      <c r="FC33" s="22"/>
      <c r="FD33" s="22"/>
      <c r="FE33" s="29" t="str">
        <f t="shared" si="30"/>
        <v/>
      </c>
      <c r="FF33" s="22"/>
      <c r="FG33" s="22"/>
      <c r="FH33" s="22"/>
      <c r="FI33" s="29" t="str">
        <f t="shared" si="31"/>
        <v/>
      </c>
      <c r="FJ33" s="22"/>
      <c r="FK33" s="22"/>
      <c r="FL33" s="22"/>
      <c r="FM33" s="29" t="str">
        <f t="shared" si="32"/>
        <v/>
      </c>
      <c r="FN33" s="22"/>
      <c r="FO33" s="22"/>
      <c r="FP33" s="22"/>
      <c r="FQ33" s="29" t="str">
        <f t="shared" si="33"/>
        <v/>
      </c>
      <c r="FR33" s="22"/>
      <c r="FS33" s="22"/>
      <c r="FT33" s="22"/>
    </row>
    <row r="34" spans="1:176" x14ac:dyDescent="0.2">
      <c r="A34" s="30" t="str">
        <f t="shared" si="34"/>
        <v xml:space="preserve"> </v>
      </c>
      <c r="B34" s="23"/>
      <c r="C34" s="23"/>
      <c r="D34" s="23"/>
      <c r="E34" s="22"/>
      <c r="F34" s="22"/>
      <c r="G34" s="22"/>
      <c r="H34" s="29" t="str">
        <f t="shared" si="69"/>
        <v/>
      </c>
      <c r="I34" s="22"/>
      <c r="J34" s="22"/>
      <c r="K34" s="22"/>
      <c r="L34" s="29" t="str">
        <f t="shared" si="70"/>
        <v/>
      </c>
      <c r="M34" s="22"/>
      <c r="N34" s="22"/>
      <c r="O34" s="22"/>
      <c r="P34" s="29" t="str">
        <f t="shared" si="71"/>
        <v/>
      </c>
      <c r="Q34" s="22"/>
      <c r="R34" s="32" t="str">
        <f t="shared" si="72"/>
        <v/>
      </c>
      <c r="S34" s="24"/>
      <c r="T34" s="22"/>
      <c r="U34" s="32" t="str">
        <f t="shared" si="73"/>
        <v/>
      </c>
      <c r="V34" s="22"/>
      <c r="W34" s="22"/>
      <c r="X34" s="22"/>
      <c r="Y34" s="32" t="str">
        <f t="shared" si="74"/>
        <v/>
      </c>
      <c r="Z34" s="22"/>
      <c r="AA34" s="22"/>
      <c r="AB34" s="22"/>
      <c r="AC34" s="29" t="str">
        <f t="shared" si="53"/>
        <v/>
      </c>
      <c r="AD34" s="22"/>
      <c r="AE34" s="22"/>
      <c r="AF34" s="22"/>
      <c r="AG34" s="29" t="str">
        <f t="shared" si="54"/>
        <v/>
      </c>
      <c r="AH34" s="22"/>
      <c r="AI34" s="22"/>
      <c r="AJ34" s="22"/>
      <c r="AK34" s="29" t="str">
        <f t="shared" si="55"/>
        <v/>
      </c>
      <c r="AL34" s="22"/>
      <c r="AM34" s="22"/>
      <c r="AN34" s="22"/>
      <c r="AO34" s="29" t="str">
        <f t="shared" si="75"/>
        <v/>
      </c>
      <c r="AP34" s="22"/>
      <c r="AQ34" s="22"/>
      <c r="AR34" s="22"/>
      <c r="AS34" s="29" t="str">
        <f t="shared" si="76"/>
        <v/>
      </c>
      <c r="AT34" s="22"/>
      <c r="AU34" s="22"/>
      <c r="AV34" s="22"/>
      <c r="AW34" s="29" t="str">
        <f t="shared" si="77"/>
        <v/>
      </c>
      <c r="AX34" s="24"/>
      <c r="AY34" s="22"/>
      <c r="AZ34" s="22"/>
      <c r="BA34" s="29" t="str">
        <f t="shared" si="78"/>
        <v/>
      </c>
      <c r="BB34" s="22"/>
      <c r="BC34" s="22"/>
      <c r="BD34" s="22"/>
      <c r="BE34" s="29" t="str">
        <f t="shared" si="56"/>
        <v/>
      </c>
      <c r="BF34" s="22"/>
      <c r="BG34" s="22"/>
      <c r="BH34" s="22"/>
      <c r="BI34" s="29" t="str">
        <f t="shared" si="57"/>
        <v/>
      </c>
      <c r="BJ34" s="22"/>
      <c r="BK34" s="22"/>
      <c r="BL34" s="22"/>
      <c r="BM34" s="29" t="str">
        <f t="shared" si="58"/>
        <v/>
      </c>
      <c r="BN34" s="22"/>
      <c r="BO34" s="22"/>
      <c r="BP34" s="22"/>
      <c r="BQ34" s="29" t="str">
        <f t="shared" si="59"/>
        <v/>
      </c>
      <c r="BR34" s="22"/>
      <c r="BS34" s="22"/>
      <c r="BT34" s="22"/>
      <c r="BU34" s="29" t="str">
        <f t="shared" si="60"/>
        <v/>
      </c>
      <c r="BV34" s="22"/>
      <c r="BW34" s="22"/>
      <c r="BX34" s="22"/>
      <c r="BY34" s="29" t="str">
        <f t="shared" si="79"/>
        <v/>
      </c>
      <c r="BZ34" s="22"/>
      <c r="CA34" s="22"/>
      <c r="CB34" s="29" t="str">
        <f t="shared" si="61"/>
        <v/>
      </c>
      <c r="CC34" s="22"/>
      <c r="CD34" s="22"/>
      <c r="CE34" s="29" t="str">
        <f t="shared" si="62"/>
        <v/>
      </c>
      <c r="CF34" s="22"/>
      <c r="CG34" s="22"/>
      <c r="CH34" s="22"/>
      <c r="CI34" s="29" t="str">
        <f t="shared" si="63"/>
        <v/>
      </c>
      <c r="CJ34" s="22"/>
      <c r="CK34" s="22"/>
      <c r="CL34" s="22"/>
      <c r="CM34" s="29" t="str">
        <f t="shared" si="64"/>
        <v/>
      </c>
      <c r="CN34" s="22"/>
      <c r="CO34" s="22"/>
      <c r="CP34" s="22"/>
      <c r="CQ34" s="29" t="str">
        <f t="shared" si="65"/>
        <v/>
      </c>
      <c r="CR34" s="22"/>
      <c r="CS34" s="22"/>
      <c r="CT34" s="29" t="str">
        <f t="shared" si="80"/>
        <v/>
      </c>
      <c r="CU34" s="22"/>
      <c r="CV34" s="22"/>
      <c r="CW34" s="22"/>
      <c r="CX34" s="29" t="str">
        <f t="shared" si="66"/>
        <v/>
      </c>
      <c r="CY34" s="22"/>
      <c r="CZ34" s="22"/>
      <c r="DA34" s="22"/>
      <c r="DB34" s="29" t="str">
        <f t="shared" si="67"/>
        <v/>
      </c>
      <c r="DC34" s="22"/>
      <c r="DD34" s="22"/>
      <c r="DE34" s="29" t="str">
        <f t="shared" si="81"/>
        <v/>
      </c>
      <c r="DF34" s="22"/>
      <c r="DG34" s="22"/>
      <c r="DH34" s="22"/>
      <c r="DI34" s="29" t="str">
        <f t="shared" si="68"/>
        <v/>
      </c>
      <c r="DJ34" s="22"/>
      <c r="DK34" s="22"/>
      <c r="DL34" s="22"/>
      <c r="DM34" s="29" t="str">
        <f t="shared" si="50"/>
        <v/>
      </c>
      <c r="DN34" s="22"/>
      <c r="DO34" s="22"/>
      <c r="DP34" s="22"/>
      <c r="DQ34" s="29" t="str">
        <f t="shared" si="51"/>
        <v/>
      </c>
      <c r="DR34" s="22"/>
      <c r="DS34" s="22"/>
      <c r="DT34" s="22"/>
      <c r="DU34" s="29" t="str">
        <f t="shared" si="52"/>
        <v/>
      </c>
      <c r="DV34" s="22"/>
      <c r="DW34" s="22"/>
      <c r="DX34" s="22"/>
      <c r="DY34" s="29" t="str">
        <f t="shared" si="22"/>
        <v/>
      </c>
      <c r="DZ34" s="22"/>
      <c r="EA34" s="22"/>
      <c r="EB34" s="22"/>
      <c r="EC34" s="29" t="str">
        <f t="shared" si="23"/>
        <v/>
      </c>
      <c r="ED34" s="22"/>
      <c r="EE34" s="22"/>
      <c r="EF34" s="22"/>
      <c r="EG34" s="29" t="str">
        <f t="shared" si="24"/>
        <v/>
      </c>
      <c r="EH34" s="22"/>
      <c r="EI34" s="22"/>
      <c r="EJ34" s="22"/>
      <c r="EK34" s="29" t="str">
        <f t="shared" si="25"/>
        <v/>
      </c>
      <c r="EL34" s="22"/>
      <c r="EM34" s="22"/>
      <c r="EN34" s="22"/>
      <c r="EO34" s="29" t="str">
        <f t="shared" si="26"/>
        <v/>
      </c>
      <c r="EP34" s="22"/>
      <c r="EQ34" s="22"/>
      <c r="ER34" s="22"/>
      <c r="ES34" s="29" t="str">
        <f t="shared" si="27"/>
        <v/>
      </c>
      <c r="ET34" s="22"/>
      <c r="EU34" s="22"/>
      <c r="EV34" s="22"/>
      <c r="EW34" s="29" t="str">
        <f t="shared" si="28"/>
        <v/>
      </c>
      <c r="EX34" s="22"/>
      <c r="EY34" s="22"/>
      <c r="EZ34" s="22"/>
      <c r="FA34" s="29" t="str">
        <f t="shared" si="29"/>
        <v/>
      </c>
      <c r="FB34" s="22"/>
      <c r="FC34" s="22"/>
      <c r="FD34" s="22"/>
      <c r="FE34" s="29" t="str">
        <f t="shared" si="30"/>
        <v/>
      </c>
      <c r="FF34" s="22"/>
      <c r="FG34" s="22"/>
      <c r="FH34" s="22"/>
      <c r="FI34" s="29" t="str">
        <f t="shared" si="31"/>
        <v/>
      </c>
      <c r="FJ34" s="22"/>
      <c r="FK34" s="22"/>
      <c r="FL34" s="22"/>
      <c r="FM34" s="29" t="str">
        <f t="shared" si="32"/>
        <v/>
      </c>
      <c r="FN34" s="22"/>
      <c r="FO34" s="22"/>
      <c r="FP34" s="22"/>
      <c r="FQ34" s="29" t="str">
        <f t="shared" si="33"/>
        <v/>
      </c>
      <c r="FR34" s="22"/>
      <c r="FS34" s="22"/>
      <c r="FT34" s="22"/>
    </row>
    <row r="35" spans="1:176" x14ac:dyDescent="0.2">
      <c r="A35" s="30" t="str">
        <f t="shared" si="34"/>
        <v xml:space="preserve"> </v>
      </c>
      <c r="B35" s="23"/>
      <c r="C35" s="23"/>
      <c r="D35" s="23"/>
      <c r="E35" s="22"/>
      <c r="F35" s="22"/>
      <c r="G35" s="22"/>
      <c r="H35" s="29" t="str">
        <f t="shared" si="69"/>
        <v/>
      </c>
      <c r="I35" s="22"/>
      <c r="J35" s="22"/>
      <c r="K35" s="22"/>
      <c r="L35" s="29" t="str">
        <f t="shared" si="70"/>
        <v/>
      </c>
      <c r="M35" s="22"/>
      <c r="N35" s="22"/>
      <c r="O35" s="22"/>
      <c r="P35" s="29" t="str">
        <f t="shared" si="71"/>
        <v/>
      </c>
      <c r="Q35" s="22"/>
      <c r="R35" s="32" t="str">
        <f t="shared" si="72"/>
        <v/>
      </c>
      <c r="S35" s="24"/>
      <c r="T35" s="22"/>
      <c r="U35" s="32" t="str">
        <f t="shared" si="73"/>
        <v/>
      </c>
      <c r="V35" s="22"/>
      <c r="W35" s="22"/>
      <c r="X35" s="22"/>
      <c r="Y35" s="32" t="str">
        <f t="shared" si="74"/>
        <v/>
      </c>
      <c r="Z35" s="22"/>
      <c r="AA35" s="22"/>
      <c r="AB35" s="22"/>
      <c r="AC35" s="29" t="str">
        <f t="shared" si="53"/>
        <v/>
      </c>
      <c r="AD35" s="22"/>
      <c r="AE35" s="22"/>
      <c r="AF35" s="22"/>
      <c r="AG35" s="29" t="str">
        <f t="shared" si="54"/>
        <v/>
      </c>
      <c r="AH35" s="22"/>
      <c r="AI35" s="22"/>
      <c r="AJ35" s="22"/>
      <c r="AK35" s="29" t="str">
        <f t="shared" si="55"/>
        <v/>
      </c>
      <c r="AL35" s="22"/>
      <c r="AM35" s="22"/>
      <c r="AN35" s="22"/>
      <c r="AO35" s="29" t="str">
        <f t="shared" si="75"/>
        <v/>
      </c>
      <c r="AP35" s="22"/>
      <c r="AQ35" s="22"/>
      <c r="AR35" s="22"/>
      <c r="AS35" s="29" t="str">
        <f t="shared" si="76"/>
        <v/>
      </c>
      <c r="AT35" s="22"/>
      <c r="AU35" s="22"/>
      <c r="AV35" s="22"/>
      <c r="AW35" s="29" t="str">
        <f t="shared" si="77"/>
        <v/>
      </c>
      <c r="AX35" s="24"/>
      <c r="AY35" s="22"/>
      <c r="AZ35" s="22"/>
      <c r="BA35" s="29" t="str">
        <f t="shared" si="78"/>
        <v/>
      </c>
      <c r="BB35" s="22"/>
      <c r="BC35" s="22"/>
      <c r="BD35" s="22"/>
      <c r="BE35" s="29" t="str">
        <f t="shared" si="56"/>
        <v/>
      </c>
      <c r="BF35" s="22"/>
      <c r="BG35" s="22"/>
      <c r="BH35" s="22"/>
      <c r="BI35" s="29" t="str">
        <f t="shared" si="57"/>
        <v/>
      </c>
      <c r="BJ35" s="22"/>
      <c r="BK35" s="22"/>
      <c r="BL35" s="22"/>
      <c r="BM35" s="29" t="str">
        <f t="shared" si="58"/>
        <v/>
      </c>
      <c r="BN35" s="22"/>
      <c r="BO35" s="22"/>
      <c r="BP35" s="22"/>
      <c r="BQ35" s="29" t="str">
        <f t="shared" si="59"/>
        <v/>
      </c>
      <c r="BR35" s="22"/>
      <c r="BS35" s="22"/>
      <c r="BT35" s="22"/>
      <c r="BU35" s="29" t="str">
        <f t="shared" si="60"/>
        <v/>
      </c>
      <c r="BV35" s="22"/>
      <c r="BW35" s="22"/>
      <c r="BX35" s="22"/>
      <c r="BY35" s="29" t="str">
        <f t="shared" si="79"/>
        <v/>
      </c>
      <c r="BZ35" s="22"/>
      <c r="CA35" s="22"/>
      <c r="CB35" s="29" t="str">
        <f t="shared" si="61"/>
        <v/>
      </c>
      <c r="CC35" s="22"/>
      <c r="CD35" s="22"/>
      <c r="CE35" s="29" t="str">
        <f t="shared" si="62"/>
        <v/>
      </c>
      <c r="CF35" s="22"/>
      <c r="CG35" s="22"/>
      <c r="CH35" s="22"/>
      <c r="CI35" s="29" t="str">
        <f t="shared" si="63"/>
        <v/>
      </c>
      <c r="CJ35" s="22"/>
      <c r="CK35" s="22"/>
      <c r="CL35" s="22"/>
      <c r="CM35" s="29" t="str">
        <f t="shared" si="64"/>
        <v/>
      </c>
      <c r="CN35" s="22"/>
      <c r="CO35" s="22"/>
      <c r="CP35" s="22"/>
      <c r="CQ35" s="29" t="str">
        <f t="shared" si="65"/>
        <v/>
      </c>
      <c r="CR35" s="22"/>
      <c r="CS35" s="22"/>
      <c r="CT35" s="29" t="str">
        <f t="shared" si="80"/>
        <v/>
      </c>
      <c r="CU35" s="22"/>
      <c r="CV35" s="22"/>
      <c r="CW35" s="22"/>
      <c r="CX35" s="29" t="str">
        <f t="shared" si="66"/>
        <v/>
      </c>
      <c r="CY35" s="22"/>
      <c r="CZ35" s="22"/>
      <c r="DA35" s="22"/>
      <c r="DB35" s="29" t="str">
        <f t="shared" si="67"/>
        <v/>
      </c>
      <c r="DC35" s="22"/>
      <c r="DD35" s="22"/>
      <c r="DE35" s="29" t="str">
        <f t="shared" si="81"/>
        <v/>
      </c>
      <c r="DF35" s="22"/>
      <c r="DG35" s="22"/>
      <c r="DH35" s="22"/>
      <c r="DI35" s="29" t="str">
        <f t="shared" si="68"/>
        <v/>
      </c>
      <c r="DJ35" s="22"/>
      <c r="DK35" s="22"/>
      <c r="DL35" s="22"/>
      <c r="DM35" s="29" t="str">
        <f t="shared" si="50"/>
        <v/>
      </c>
      <c r="DN35" s="22"/>
      <c r="DO35" s="22"/>
      <c r="DP35" s="22"/>
      <c r="DQ35" s="29" t="str">
        <f t="shared" si="51"/>
        <v/>
      </c>
      <c r="DR35" s="22"/>
      <c r="DS35" s="22"/>
      <c r="DT35" s="22"/>
      <c r="DU35" s="29" t="str">
        <f t="shared" si="52"/>
        <v/>
      </c>
      <c r="DV35" s="22"/>
      <c r="DW35" s="22"/>
      <c r="DX35" s="22"/>
      <c r="DY35" s="29" t="str">
        <f t="shared" si="22"/>
        <v/>
      </c>
      <c r="DZ35" s="22"/>
      <c r="EA35" s="22"/>
      <c r="EB35" s="22"/>
      <c r="EC35" s="29" t="str">
        <f t="shared" si="23"/>
        <v/>
      </c>
      <c r="ED35" s="22"/>
      <c r="EE35" s="22"/>
      <c r="EF35" s="22"/>
      <c r="EG35" s="29" t="str">
        <f t="shared" si="24"/>
        <v/>
      </c>
      <c r="EH35" s="22"/>
      <c r="EI35" s="22"/>
      <c r="EJ35" s="22"/>
      <c r="EK35" s="29" t="str">
        <f t="shared" si="25"/>
        <v/>
      </c>
      <c r="EL35" s="22"/>
      <c r="EM35" s="22"/>
      <c r="EN35" s="22"/>
      <c r="EO35" s="29" t="str">
        <f t="shared" si="26"/>
        <v/>
      </c>
      <c r="EP35" s="22"/>
      <c r="EQ35" s="22"/>
      <c r="ER35" s="22"/>
      <c r="ES35" s="29" t="str">
        <f t="shared" si="27"/>
        <v/>
      </c>
      <c r="ET35" s="22"/>
      <c r="EU35" s="22"/>
      <c r="EV35" s="22"/>
      <c r="EW35" s="29" t="str">
        <f t="shared" si="28"/>
        <v/>
      </c>
      <c r="EX35" s="22"/>
      <c r="EY35" s="22"/>
      <c r="EZ35" s="22"/>
      <c r="FA35" s="29" t="str">
        <f t="shared" si="29"/>
        <v/>
      </c>
      <c r="FB35" s="22"/>
      <c r="FC35" s="22"/>
      <c r="FD35" s="22"/>
      <c r="FE35" s="29" t="str">
        <f t="shared" si="30"/>
        <v/>
      </c>
      <c r="FF35" s="22"/>
      <c r="FG35" s="22"/>
      <c r="FH35" s="22"/>
      <c r="FI35" s="29" t="str">
        <f t="shared" si="31"/>
        <v/>
      </c>
      <c r="FJ35" s="22"/>
      <c r="FK35" s="22"/>
      <c r="FL35" s="22"/>
      <c r="FM35" s="29" t="str">
        <f t="shared" si="32"/>
        <v/>
      </c>
      <c r="FN35" s="22"/>
      <c r="FO35" s="22"/>
      <c r="FP35" s="22"/>
      <c r="FQ35" s="29" t="str">
        <f t="shared" si="33"/>
        <v/>
      </c>
      <c r="FR35" s="22"/>
      <c r="FS35" s="22"/>
      <c r="FT35" s="22"/>
    </row>
    <row r="36" spans="1:176" x14ac:dyDescent="0.2">
      <c r="A36" s="30" t="str">
        <f t="shared" si="34"/>
        <v xml:space="preserve"> </v>
      </c>
      <c r="B36" s="23"/>
      <c r="C36" s="23"/>
      <c r="D36" s="23"/>
      <c r="E36" s="22"/>
      <c r="F36" s="22"/>
      <c r="G36" s="22"/>
      <c r="H36" s="29" t="str">
        <f t="shared" si="69"/>
        <v/>
      </c>
      <c r="I36" s="22"/>
      <c r="J36" s="22"/>
      <c r="K36" s="22"/>
      <c r="L36" s="29" t="str">
        <f t="shared" si="70"/>
        <v/>
      </c>
      <c r="M36" s="22"/>
      <c r="N36" s="22"/>
      <c r="O36" s="22"/>
      <c r="P36" s="29" t="str">
        <f t="shared" si="71"/>
        <v/>
      </c>
      <c r="Q36" s="22"/>
      <c r="R36" s="32" t="str">
        <f t="shared" si="72"/>
        <v/>
      </c>
      <c r="S36" s="24"/>
      <c r="T36" s="22"/>
      <c r="U36" s="32" t="str">
        <f t="shared" si="73"/>
        <v/>
      </c>
      <c r="V36" s="22"/>
      <c r="W36" s="22"/>
      <c r="X36" s="22"/>
      <c r="Y36" s="32" t="str">
        <f t="shared" si="74"/>
        <v/>
      </c>
      <c r="Z36" s="22"/>
      <c r="AA36" s="22"/>
      <c r="AB36" s="22"/>
      <c r="AC36" s="29" t="str">
        <f t="shared" si="53"/>
        <v/>
      </c>
      <c r="AD36" s="22"/>
      <c r="AE36" s="22"/>
      <c r="AF36" s="22"/>
      <c r="AG36" s="29" t="str">
        <f t="shared" si="54"/>
        <v/>
      </c>
      <c r="AH36" s="22"/>
      <c r="AI36" s="22"/>
      <c r="AJ36" s="22"/>
      <c r="AK36" s="29" t="str">
        <f t="shared" si="55"/>
        <v/>
      </c>
      <c r="AL36" s="22"/>
      <c r="AM36" s="22"/>
      <c r="AN36" s="22"/>
      <c r="AO36" s="29" t="str">
        <f t="shared" si="75"/>
        <v/>
      </c>
      <c r="AP36" s="22"/>
      <c r="AQ36" s="22"/>
      <c r="AR36" s="22"/>
      <c r="AS36" s="29" t="str">
        <f t="shared" si="76"/>
        <v/>
      </c>
      <c r="AT36" s="22"/>
      <c r="AU36" s="22"/>
      <c r="AV36" s="22"/>
      <c r="AW36" s="29" t="str">
        <f t="shared" si="77"/>
        <v/>
      </c>
      <c r="AX36" s="24"/>
      <c r="AY36" s="22"/>
      <c r="AZ36" s="22"/>
      <c r="BA36" s="29" t="str">
        <f t="shared" si="78"/>
        <v/>
      </c>
      <c r="BB36" s="22"/>
      <c r="BC36" s="22"/>
      <c r="BD36" s="22"/>
      <c r="BE36" s="29" t="str">
        <f t="shared" si="56"/>
        <v/>
      </c>
      <c r="BF36" s="22"/>
      <c r="BG36" s="22"/>
      <c r="BH36" s="22"/>
      <c r="BI36" s="29" t="str">
        <f t="shared" si="57"/>
        <v/>
      </c>
      <c r="BJ36" s="22"/>
      <c r="BK36" s="22"/>
      <c r="BL36" s="22"/>
      <c r="BM36" s="29" t="str">
        <f t="shared" si="58"/>
        <v/>
      </c>
      <c r="BN36" s="22"/>
      <c r="BO36" s="22"/>
      <c r="BP36" s="22"/>
      <c r="BQ36" s="29" t="str">
        <f t="shared" si="59"/>
        <v/>
      </c>
      <c r="BR36" s="22"/>
      <c r="BS36" s="22"/>
      <c r="BT36" s="22"/>
      <c r="BU36" s="29" t="str">
        <f t="shared" si="60"/>
        <v/>
      </c>
      <c r="BV36" s="22"/>
      <c r="BW36" s="22"/>
      <c r="BX36" s="22"/>
      <c r="BY36" s="29" t="str">
        <f t="shared" si="79"/>
        <v/>
      </c>
      <c r="BZ36" s="22"/>
      <c r="CA36" s="22"/>
      <c r="CB36" s="29" t="str">
        <f t="shared" si="61"/>
        <v/>
      </c>
      <c r="CC36" s="22"/>
      <c r="CD36" s="22"/>
      <c r="CE36" s="29" t="str">
        <f t="shared" si="62"/>
        <v/>
      </c>
      <c r="CF36" s="22"/>
      <c r="CG36" s="22"/>
      <c r="CH36" s="22"/>
      <c r="CI36" s="29" t="str">
        <f t="shared" si="63"/>
        <v/>
      </c>
      <c r="CJ36" s="22"/>
      <c r="CK36" s="22"/>
      <c r="CL36" s="22"/>
      <c r="CM36" s="29" t="str">
        <f t="shared" si="64"/>
        <v/>
      </c>
      <c r="CN36" s="22"/>
      <c r="CO36" s="22"/>
      <c r="CP36" s="22"/>
      <c r="CQ36" s="29" t="str">
        <f t="shared" si="65"/>
        <v/>
      </c>
      <c r="CR36" s="22"/>
      <c r="CS36" s="22"/>
      <c r="CT36" s="29" t="str">
        <f t="shared" si="80"/>
        <v/>
      </c>
      <c r="CU36" s="22"/>
      <c r="CV36" s="22"/>
      <c r="CW36" s="22"/>
      <c r="CX36" s="29" t="str">
        <f t="shared" si="66"/>
        <v/>
      </c>
      <c r="CY36" s="22"/>
      <c r="CZ36" s="22"/>
      <c r="DA36" s="22"/>
      <c r="DB36" s="29" t="str">
        <f t="shared" si="67"/>
        <v/>
      </c>
      <c r="DC36" s="22"/>
      <c r="DD36" s="22"/>
      <c r="DE36" s="29" t="str">
        <f t="shared" si="81"/>
        <v/>
      </c>
      <c r="DF36" s="22"/>
      <c r="DG36" s="22"/>
      <c r="DH36" s="22"/>
      <c r="DI36" s="29" t="str">
        <f t="shared" si="68"/>
        <v/>
      </c>
      <c r="DJ36" s="22"/>
      <c r="DK36" s="22"/>
      <c r="DL36" s="22"/>
      <c r="DM36" s="29" t="str">
        <f t="shared" si="50"/>
        <v/>
      </c>
      <c r="DN36" s="22"/>
      <c r="DO36" s="22"/>
      <c r="DP36" s="22"/>
      <c r="DQ36" s="29" t="str">
        <f t="shared" si="51"/>
        <v/>
      </c>
      <c r="DR36" s="22"/>
      <c r="DS36" s="22"/>
      <c r="DT36" s="22"/>
      <c r="DU36" s="29" t="str">
        <f t="shared" si="52"/>
        <v/>
      </c>
      <c r="DV36" s="22"/>
      <c r="DW36" s="22"/>
      <c r="DX36" s="22"/>
      <c r="DY36" s="29" t="str">
        <f t="shared" si="22"/>
        <v/>
      </c>
      <c r="DZ36" s="22"/>
      <c r="EA36" s="22"/>
      <c r="EB36" s="22"/>
      <c r="EC36" s="29" t="str">
        <f t="shared" si="23"/>
        <v/>
      </c>
      <c r="ED36" s="22"/>
      <c r="EE36" s="22"/>
      <c r="EF36" s="22"/>
      <c r="EG36" s="29" t="str">
        <f t="shared" si="24"/>
        <v/>
      </c>
      <c r="EH36" s="22"/>
      <c r="EI36" s="22"/>
      <c r="EJ36" s="22"/>
      <c r="EK36" s="29" t="str">
        <f t="shared" si="25"/>
        <v/>
      </c>
      <c r="EL36" s="22"/>
      <c r="EM36" s="22"/>
      <c r="EN36" s="22"/>
      <c r="EO36" s="29" t="str">
        <f t="shared" si="26"/>
        <v/>
      </c>
      <c r="EP36" s="22"/>
      <c r="EQ36" s="22"/>
      <c r="ER36" s="22"/>
      <c r="ES36" s="29" t="str">
        <f t="shared" si="27"/>
        <v/>
      </c>
      <c r="ET36" s="22"/>
      <c r="EU36" s="22"/>
      <c r="EV36" s="22"/>
      <c r="EW36" s="29" t="str">
        <f t="shared" si="28"/>
        <v/>
      </c>
      <c r="EX36" s="22"/>
      <c r="EY36" s="22"/>
      <c r="EZ36" s="22"/>
      <c r="FA36" s="29" t="str">
        <f t="shared" si="29"/>
        <v/>
      </c>
      <c r="FB36" s="22"/>
      <c r="FC36" s="22"/>
      <c r="FD36" s="22"/>
      <c r="FE36" s="29" t="str">
        <f t="shared" si="30"/>
        <v/>
      </c>
      <c r="FF36" s="22"/>
      <c r="FG36" s="22"/>
      <c r="FH36" s="22"/>
      <c r="FI36" s="29" t="str">
        <f t="shared" si="31"/>
        <v/>
      </c>
      <c r="FJ36" s="22"/>
      <c r="FK36" s="22"/>
      <c r="FL36" s="22"/>
      <c r="FM36" s="29" t="str">
        <f t="shared" si="32"/>
        <v/>
      </c>
      <c r="FN36" s="22"/>
      <c r="FO36" s="22"/>
      <c r="FP36" s="22"/>
      <c r="FQ36" s="29" t="str">
        <f t="shared" si="33"/>
        <v/>
      </c>
      <c r="FR36" s="22"/>
      <c r="FS36" s="22"/>
      <c r="FT36" s="22"/>
    </row>
    <row r="37" spans="1:176" x14ac:dyDescent="0.2">
      <c r="A37" s="30" t="str">
        <f t="shared" si="34"/>
        <v xml:space="preserve"> </v>
      </c>
      <c r="B37" s="23"/>
      <c r="C37" s="23"/>
      <c r="D37" s="23"/>
      <c r="E37" s="22"/>
      <c r="F37" s="22"/>
      <c r="G37" s="22"/>
      <c r="H37" s="29" t="str">
        <f t="shared" si="69"/>
        <v/>
      </c>
      <c r="I37" s="22"/>
      <c r="J37" s="22"/>
      <c r="K37" s="22"/>
      <c r="L37" s="29" t="str">
        <f t="shared" si="70"/>
        <v/>
      </c>
      <c r="M37" s="22"/>
      <c r="N37" s="22"/>
      <c r="O37" s="22"/>
      <c r="P37" s="29" t="str">
        <f t="shared" si="71"/>
        <v/>
      </c>
      <c r="Q37" s="22"/>
      <c r="R37" s="32" t="str">
        <f t="shared" si="72"/>
        <v/>
      </c>
      <c r="S37" s="24"/>
      <c r="T37" s="22"/>
      <c r="U37" s="32" t="str">
        <f t="shared" si="73"/>
        <v/>
      </c>
      <c r="V37" s="22"/>
      <c r="W37" s="22"/>
      <c r="X37" s="22"/>
      <c r="Y37" s="32" t="str">
        <f t="shared" si="74"/>
        <v/>
      </c>
      <c r="Z37" s="22"/>
      <c r="AA37" s="22"/>
      <c r="AB37" s="22"/>
      <c r="AC37" s="29" t="str">
        <f t="shared" si="53"/>
        <v/>
      </c>
      <c r="AD37" s="22"/>
      <c r="AE37" s="22"/>
      <c r="AF37" s="22"/>
      <c r="AG37" s="29" t="str">
        <f t="shared" si="54"/>
        <v/>
      </c>
      <c r="AH37" s="22"/>
      <c r="AI37" s="22"/>
      <c r="AJ37" s="22"/>
      <c r="AK37" s="29" t="str">
        <f t="shared" si="55"/>
        <v/>
      </c>
      <c r="AL37" s="22"/>
      <c r="AM37" s="22"/>
      <c r="AN37" s="22"/>
      <c r="AO37" s="29" t="str">
        <f t="shared" si="75"/>
        <v/>
      </c>
      <c r="AP37" s="22"/>
      <c r="AQ37" s="22"/>
      <c r="AR37" s="22"/>
      <c r="AS37" s="29" t="str">
        <f t="shared" si="76"/>
        <v/>
      </c>
      <c r="AT37" s="22"/>
      <c r="AU37" s="22"/>
      <c r="AV37" s="22"/>
      <c r="AW37" s="29" t="str">
        <f t="shared" si="77"/>
        <v/>
      </c>
      <c r="AX37" s="24"/>
      <c r="AY37" s="22"/>
      <c r="AZ37" s="22"/>
      <c r="BA37" s="29" t="str">
        <f t="shared" si="78"/>
        <v/>
      </c>
      <c r="BB37" s="22"/>
      <c r="BC37" s="22"/>
      <c r="BD37" s="22"/>
      <c r="BE37" s="29" t="str">
        <f t="shared" si="56"/>
        <v/>
      </c>
      <c r="BF37" s="22"/>
      <c r="BG37" s="22"/>
      <c r="BH37" s="22"/>
      <c r="BI37" s="29" t="str">
        <f t="shared" si="57"/>
        <v/>
      </c>
      <c r="BJ37" s="22"/>
      <c r="BK37" s="22"/>
      <c r="BL37" s="22"/>
      <c r="BM37" s="29" t="str">
        <f t="shared" si="58"/>
        <v/>
      </c>
      <c r="BN37" s="22"/>
      <c r="BO37" s="22"/>
      <c r="BP37" s="22"/>
      <c r="BQ37" s="29" t="str">
        <f t="shared" si="59"/>
        <v/>
      </c>
      <c r="BR37" s="22"/>
      <c r="BS37" s="22"/>
      <c r="BT37" s="22"/>
      <c r="BU37" s="29" t="str">
        <f t="shared" si="60"/>
        <v/>
      </c>
      <c r="BV37" s="22"/>
      <c r="BW37" s="22"/>
      <c r="BX37" s="22"/>
      <c r="BY37" s="29" t="str">
        <f t="shared" si="79"/>
        <v/>
      </c>
      <c r="BZ37" s="22"/>
      <c r="CA37" s="22"/>
      <c r="CB37" s="29" t="str">
        <f t="shared" si="61"/>
        <v/>
      </c>
      <c r="CC37" s="22"/>
      <c r="CD37" s="22"/>
      <c r="CE37" s="29" t="str">
        <f t="shared" si="62"/>
        <v/>
      </c>
      <c r="CF37" s="22"/>
      <c r="CG37" s="22"/>
      <c r="CH37" s="22"/>
      <c r="CI37" s="29" t="str">
        <f t="shared" si="63"/>
        <v/>
      </c>
      <c r="CJ37" s="22"/>
      <c r="CK37" s="22"/>
      <c r="CL37" s="22"/>
      <c r="CM37" s="29" t="str">
        <f t="shared" si="64"/>
        <v/>
      </c>
      <c r="CN37" s="22"/>
      <c r="CO37" s="22"/>
      <c r="CP37" s="22"/>
      <c r="CQ37" s="29" t="str">
        <f t="shared" si="65"/>
        <v/>
      </c>
      <c r="CR37" s="22"/>
      <c r="CS37" s="22"/>
      <c r="CT37" s="29" t="str">
        <f t="shared" si="80"/>
        <v/>
      </c>
      <c r="CU37" s="22"/>
      <c r="CV37" s="22"/>
      <c r="CW37" s="22"/>
      <c r="CX37" s="29" t="str">
        <f t="shared" si="66"/>
        <v/>
      </c>
      <c r="CY37" s="22"/>
      <c r="CZ37" s="22"/>
      <c r="DA37" s="22"/>
      <c r="DB37" s="29" t="str">
        <f t="shared" si="67"/>
        <v/>
      </c>
      <c r="DC37" s="22"/>
      <c r="DD37" s="22"/>
      <c r="DE37" s="29" t="str">
        <f t="shared" si="81"/>
        <v/>
      </c>
      <c r="DF37" s="22"/>
      <c r="DG37" s="22"/>
      <c r="DH37" s="22"/>
      <c r="DI37" s="29" t="str">
        <f t="shared" si="68"/>
        <v/>
      </c>
      <c r="DJ37" s="22"/>
      <c r="DK37" s="22"/>
      <c r="DL37" s="22"/>
      <c r="DM37" s="29" t="str">
        <f t="shared" si="50"/>
        <v/>
      </c>
      <c r="DN37" s="22"/>
      <c r="DO37" s="22"/>
      <c r="DP37" s="22"/>
      <c r="DQ37" s="29" t="str">
        <f t="shared" si="51"/>
        <v/>
      </c>
      <c r="DR37" s="22"/>
      <c r="DS37" s="22"/>
      <c r="DT37" s="22"/>
      <c r="DU37" s="29" t="str">
        <f t="shared" si="52"/>
        <v/>
      </c>
      <c r="DV37" s="22"/>
      <c r="DW37" s="22"/>
      <c r="DX37" s="22"/>
      <c r="DY37" s="29" t="str">
        <f t="shared" si="22"/>
        <v/>
      </c>
      <c r="DZ37" s="22"/>
      <c r="EA37" s="22"/>
      <c r="EB37" s="22"/>
      <c r="EC37" s="29" t="str">
        <f t="shared" si="23"/>
        <v/>
      </c>
      <c r="ED37" s="22"/>
      <c r="EE37" s="22"/>
      <c r="EF37" s="22"/>
      <c r="EG37" s="29" t="str">
        <f t="shared" si="24"/>
        <v/>
      </c>
      <c r="EH37" s="22"/>
      <c r="EI37" s="22"/>
      <c r="EJ37" s="22"/>
      <c r="EK37" s="29" t="str">
        <f t="shared" si="25"/>
        <v/>
      </c>
      <c r="EL37" s="22"/>
      <c r="EM37" s="22"/>
      <c r="EN37" s="22"/>
      <c r="EO37" s="29" t="str">
        <f t="shared" si="26"/>
        <v/>
      </c>
      <c r="EP37" s="22"/>
      <c r="EQ37" s="22"/>
      <c r="ER37" s="22"/>
      <c r="ES37" s="29" t="str">
        <f t="shared" si="27"/>
        <v/>
      </c>
      <c r="ET37" s="22"/>
      <c r="EU37" s="22"/>
      <c r="EV37" s="22"/>
      <c r="EW37" s="29" t="str">
        <f t="shared" si="28"/>
        <v/>
      </c>
      <c r="EX37" s="22"/>
      <c r="EY37" s="22"/>
      <c r="EZ37" s="22"/>
      <c r="FA37" s="29" t="str">
        <f t="shared" si="29"/>
        <v/>
      </c>
      <c r="FB37" s="22"/>
      <c r="FC37" s="22"/>
      <c r="FD37" s="22"/>
      <c r="FE37" s="29" t="str">
        <f t="shared" si="30"/>
        <v/>
      </c>
      <c r="FF37" s="22"/>
      <c r="FG37" s="22"/>
      <c r="FH37" s="22"/>
      <c r="FI37" s="29" t="str">
        <f t="shared" si="31"/>
        <v/>
      </c>
      <c r="FJ37" s="22"/>
      <c r="FK37" s="22"/>
      <c r="FL37" s="22"/>
      <c r="FM37" s="29" t="str">
        <f t="shared" si="32"/>
        <v/>
      </c>
      <c r="FN37" s="22"/>
      <c r="FO37" s="22"/>
      <c r="FP37" s="22"/>
      <c r="FQ37" s="29" t="str">
        <f t="shared" si="33"/>
        <v/>
      </c>
      <c r="FR37" s="22"/>
      <c r="FS37" s="22"/>
      <c r="FT37" s="22"/>
    </row>
    <row r="38" spans="1:176" x14ac:dyDescent="0.2">
      <c r="A38" s="30" t="str">
        <f t="shared" si="34"/>
        <v xml:space="preserve"> </v>
      </c>
      <c r="B38" s="23"/>
      <c r="C38" s="23"/>
      <c r="D38" s="23"/>
      <c r="E38" s="22"/>
      <c r="F38" s="22"/>
      <c r="G38" s="22"/>
      <c r="H38" s="29" t="str">
        <f t="shared" si="69"/>
        <v/>
      </c>
      <c r="I38" s="22"/>
      <c r="J38" s="22"/>
      <c r="K38" s="22"/>
      <c r="L38" s="29" t="str">
        <f t="shared" si="70"/>
        <v/>
      </c>
      <c r="M38" s="22"/>
      <c r="N38" s="22"/>
      <c r="O38" s="22"/>
      <c r="P38" s="29" t="str">
        <f t="shared" si="71"/>
        <v/>
      </c>
      <c r="Q38" s="22"/>
      <c r="R38" s="32" t="str">
        <f t="shared" si="72"/>
        <v/>
      </c>
      <c r="S38" s="24"/>
      <c r="T38" s="22"/>
      <c r="U38" s="32" t="str">
        <f t="shared" si="73"/>
        <v/>
      </c>
      <c r="V38" s="22"/>
      <c r="W38" s="22"/>
      <c r="X38" s="22"/>
      <c r="Y38" s="32" t="str">
        <f t="shared" si="74"/>
        <v/>
      </c>
      <c r="Z38" s="22"/>
      <c r="AA38" s="22"/>
      <c r="AB38" s="22"/>
      <c r="AC38" s="29" t="str">
        <f t="shared" si="53"/>
        <v/>
      </c>
      <c r="AD38" s="22"/>
      <c r="AE38" s="22"/>
      <c r="AF38" s="22"/>
      <c r="AG38" s="29" t="str">
        <f t="shared" si="54"/>
        <v/>
      </c>
      <c r="AH38" s="22"/>
      <c r="AI38" s="22"/>
      <c r="AJ38" s="22"/>
      <c r="AK38" s="29" t="str">
        <f t="shared" si="55"/>
        <v/>
      </c>
      <c r="AL38" s="22"/>
      <c r="AM38" s="22"/>
      <c r="AN38" s="22"/>
      <c r="AO38" s="29" t="str">
        <f t="shared" si="75"/>
        <v/>
      </c>
      <c r="AP38" s="22"/>
      <c r="AQ38" s="22"/>
      <c r="AR38" s="22"/>
      <c r="AS38" s="29" t="str">
        <f t="shared" si="76"/>
        <v/>
      </c>
      <c r="AT38" s="22"/>
      <c r="AU38" s="22"/>
      <c r="AV38" s="22"/>
      <c r="AW38" s="29" t="str">
        <f t="shared" si="77"/>
        <v/>
      </c>
      <c r="AX38" s="24"/>
      <c r="AY38" s="22"/>
      <c r="AZ38" s="22"/>
      <c r="BA38" s="29" t="str">
        <f t="shared" si="78"/>
        <v/>
      </c>
      <c r="BB38" s="22"/>
      <c r="BC38" s="22"/>
      <c r="BD38" s="22"/>
      <c r="BE38" s="29" t="str">
        <f t="shared" si="56"/>
        <v/>
      </c>
      <c r="BF38" s="22"/>
      <c r="BG38" s="22"/>
      <c r="BH38" s="22"/>
      <c r="BI38" s="29" t="str">
        <f t="shared" si="57"/>
        <v/>
      </c>
      <c r="BJ38" s="22"/>
      <c r="BK38" s="22"/>
      <c r="BL38" s="22"/>
      <c r="BM38" s="29" t="str">
        <f t="shared" si="58"/>
        <v/>
      </c>
      <c r="BN38" s="22"/>
      <c r="BO38" s="22"/>
      <c r="BP38" s="22"/>
      <c r="BQ38" s="29" t="str">
        <f t="shared" si="59"/>
        <v/>
      </c>
      <c r="BR38" s="22"/>
      <c r="BS38" s="22"/>
      <c r="BT38" s="22"/>
      <c r="BU38" s="29" t="str">
        <f t="shared" si="60"/>
        <v/>
      </c>
      <c r="BV38" s="22"/>
      <c r="BW38" s="22"/>
      <c r="BX38" s="22"/>
      <c r="BY38" s="29" t="str">
        <f t="shared" si="79"/>
        <v/>
      </c>
      <c r="BZ38" s="22"/>
      <c r="CA38" s="22"/>
      <c r="CB38" s="29" t="str">
        <f t="shared" si="61"/>
        <v/>
      </c>
      <c r="CC38" s="22"/>
      <c r="CD38" s="22"/>
      <c r="CE38" s="29" t="str">
        <f t="shared" si="62"/>
        <v/>
      </c>
      <c r="CF38" s="22"/>
      <c r="CG38" s="22"/>
      <c r="CH38" s="22"/>
      <c r="CI38" s="29" t="str">
        <f t="shared" si="63"/>
        <v/>
      </c>
      <c r="CJ38" s="22"/>
      <c r="CK38" s="22"/>
      <c r="CL38" s="22"/>
      <c r="CM38" s="29" t="str">
        <f t="shared" si="64"/>
        <v/>
      </c>
      <c r="CN38" s="22"/>
      <c r="CO38" s="22"/>
      <c r="CP38" s="22"/>
      <c r="CQ38" s="29" t="str">
        <f t="shared" si="65"/>
        <v/>
      </c>
      <c r="CR38" s="22"/>
      <c r="CS38" s="22"/>
      <c r="CT38" s="29" t="str">
        <f t="shared" si="80"/>
        <v/>
      </c>
      <c r="CU38" s="22"/>
      <c r="CV38" s="22"/>
      <c r="CW38" s="22"/>
      <c r="CX38" s="29" t="str">
        <f t="shared" si="66"/>
        <v/>
      </c>
      <c r="CY38" s="22"/>
      <c r="CZ38" s="22"/>
      <c r="DA38" s="22"/>
      <c r="DB38" s="29" t="str">
        <f t="shared" si="67"/>
        <v/>
      </c>
      <c r="DC38" s="22"/>
      <c r="DD38" s="22"/>
      <c r="DE38" s="29" t="str">
        <f t="shared" si="81"/>
        <v/>
      </c>
      <c r="DF38" s="22"/>
      <c r="DG38" s="22"/>
      <c r="DH38" s="22"/>
      <c r="DI38" s="29" t="str">
        <f t="shared" si="68"/>
        <v/>
      </c>
      <c r="DJ38" s="22"/>
      <c r="DK38" s="22"/>
      <c r="DL38" s="22"/>
      <c r="DM38" s="29" t="str">
        <f t="shared" si="50"/>
        <v/>
      </c>
      <c r="DN38" s="22"/>
      <c r="DO38" s="22"/>
      <c r="DP38" s="22"/>
      <c r="DQ38" s="29" t="str">
        <f t="shared" si="51"/>
        <v/>
      </c>
      <c r="DR38" s="22"/>
      <c r="DS38" s="22"/>
      <c r="DT38" s="22"/>
      <c r="DU38" s="29" t="str">
        <f t="shared" si="52"/>
        <v/>
      </c>
      <c r="DV38" s="22"/>
      <c r="DW38" s="22"/>
      <c r="DX38" s="22"/>
      <c r="DY38" s="29" t="str">
        <f t="shared" si="22"/>
        <v/>
      </c>
      <c r="DZ38" s="22"/>
      <c r="EA38" s="22"/>
      <c r="EB38" s="22"/>
      <c r="EC38" s="29" t="str">
        <f t="shared" si="23"/>
        <v/>
      </c>
      <c r="ED38" s="22"/>
      <c r="EE38" s="22"/>
      <c r="EF38" s="22"/>
      <c r="EG38" s="29" t="str">
        <f t="shared" si="24"/>
        <v/>
      </c>
      <c r="EH38" s="22"/>
      <c r="EI38" s="22"/>
      <c r="EJ38" s="22"/>
      <c r="EK38" s="29" t="str">
        <f t="shared" si="25"/>
        <v/>
      </c>
      <c r="EL38" s="22"/>
      <c r="EM38" s="22"/>
      <c r="EN38" s="22"/>
      <c r="EO38" s="29" t="str">
        <f t="shared" si="26"/>
        <v/>
      </c>
      <c r="EP38" s="22"/>
      <c r="EQ38" s="22"/>
      <c r="ER38" s="22"/>
      <c r="ES38" s="29" t="str">
        <f t="shared" si="27"/>
        <v/>
      </c>
      <c r="ET38" s="22"/>
      <c r="EU38" s="22"/>
      <c r="EV38" s="22"/>
      <c r="EW38" s="29" t="str">
        <f t="shared" si="28"/>
        <v/>
      </c>
      <c r="EX38" s="22"/>
      <c r="EY38" s="22"/>
      <c r="EZ38" s="22"/>
      <c r="FA38" s="29" t="str">
        <f t="shared" si="29"/>
        <v/>
      </c>
      <c r="FB38" s="22"/>
      <c r="FC38" s="22"/>
      <c r="FD38" s="22"/>
      <c r="FE38" s="29" t="str">
        <f t="shared" si="30"/>
        <v/>
      </c>
      <c r="FF38" s="22"/>
      <c r="FG38" s="22"/>
      <c r="FH38" s="22"/>
      <c r="FI38" s="29" t="str">
        <f t="shared" si="31"/>
        <v/>
      </c>
      <c r="FJ38" s="22"/>
      <c r="FK38" s="22"/>
      <c r="FL38" s="22"/>
      <c r="FM38" s="29" t="str">
        <f t="shared" si="32"/>
        <v/>
      </c>
      <c r="FN38" s="22"/>
      <c r="FO38" s="22"/>
      <c r="FP38" s="22"/>
      <c r="FQ38" s="29" t="str">
        <f t="shared" si="33"/>
        <v/>
      </c>
      <c r="FR38" s="22"/>
      <c r="FS38" s="22"/>
      <c r="FT38" s="22"/>
    </row>
    <row r="39" spans="1:176" x14ac:dyDescent="0.2">
      <c r="A39" s="30" t="str">
        <f t="shared" si="34"/>
        <v xml:space="preserve"> </v>
      </c>
      <c r="B39" s="23"/>
      <c r="C39" s="23"/>
      <c r="D39" s="23"/>
      <c r="E39" s="22"/>
      <c r="F39" s="22"/>
      <c r="G39" s="22"/>
      <c r="H39" s="29" t="str">
        <f t="shared" si="69"/>
        <v/>
      </c>
      <c r="I39" s="22"/>
      <c r="J39" s="22"/>
      <c r="K39" s="22"/>
      <c r="L39" s="29" t="str">
        <f t="shared" si="70"/>
        <v/>
      </c>
      <c r="M39" s="22"/>
      <c r="N39" s="22"/>
      <c r="O39" s="22"/>
      <c r="P39" s="29" t="str">
        <f t="shared" si="71"/>
        <v/>
      </c>
      <c r="Q39" s="22"/>
      <c r="R39" s="32" t="str">
        <f t="shared" si="72"/>
        <v/>
      </c>
      <c r="S39" s="24"/>
      <c r="T39" s="22"/>
      <c r="U39" s="32" t="str">
        <f t="shared" si="73"/>
        <v/>
      </c>
      <c r="V39" s="22"/>
      <c r="W39" s="22"/>
      <c r="X39" s="22"/>
      <c r="Y39" s="32" t="str">
        <f t="shared" si="74"/>
        <v/>
      </c>
      <c r="Z39" s="22"/>
      <c r="AA39" s="22"/>
      <c r="AB39" s="22"/>
      <c r="AC39" s="29" t="str">
        <f t="shared" si="53"/>
        <v/>
      </c>
      <c r="AD39" s="22"/>
      <c r="AE39" s="22"/>
      <c r="AF39" s="22"/>
      <c r="AG39" s="29" t="str">
        <f t="shared" si="54"/>
        <v/>
      </c>
      <c r="AH39" s="22"/>
      <c r="AI39" s="22"/>
      <c r="AJ39" s="22"/>
      <c r="AK39" s="29" t="str">
        <f t="shared" si="55"/>
        <v/>
      </c>
      <c r="AL39" s="22"/>
      <c r="AM39" s="22"/>
      <c r="AN39" s="22"/>
      <c r="AO39" s="29" t="str">
        <f t="shared" si="75"/>
        <v/>
      </c>
      <c r="AP39" s="22"/>
      <c r="AQ39" s="22"/>
      <c r="AR39" s="22"/>
      <c r="AS39" s="29" t="str">
        <f t="shared" si="76"/>
        <v/>
      </c>
      <c r="AT39" s="22"/>
      <c r="AU39" s="22"/>
      <c r="AV39" s="22"/>
      <c r="AW39" s="29" t="str">
        <f t="shared" si="77"/>
        <v/>
      </c>
      <c r="AX39" s="24"/>
      <c r="AY39" s="22"/>
      <c r="AZ39" s="22"/>
      <c r="BA39" s="29" t="str">
        <f t="shared" si="78"/>
        <v/>
      </c>
      <c r="BB39" s="22"/>
      <c r="BC39" s="22"/>
      <c r="BD39" s="22"/>
      <c r="BE39" s="29" t="str">
        <f t="shared" si="56"/>
        <v/>
      </c>
      <c r="BF39" s="22"/>
      <c r="BG39" s="22"/>
      <c r="BH39" s="22"/>
      <c r="BI39" s="29" t="str">
        <f t="shared" si="57"/>
        <v/>
      </c>
      <c r="BJ39" s="22"/>
      <c r="BK39" s="22"/>
      <c r="BL39" s="22"/>
      <c r="BM39" s="29" t="str">
        <f t="shared" si="58"/>
        <v/>
      </c>
      <c r="BN39" s="22"/>
      <c r="BO39" s="22"/>
      <c r="BP39" s="22"/>
      <c r="BQ39" s="29" t="str">
        <f t="shared" si="59"/>
        <v/>
      </c>
      <c r="BR39" s="22"/>
      <c r="BS39" s="22"/>
      <c r="BT39" s="22"/>
      <c r="BU39" s="29" t="str">
        <f t="shared" si="60"/>
        <v/>
      </c>
      <c r="BV39" s="22"/>
      <c r="BW39" s="22"/>
      <c r="BX39" s="22"/>
      <c r="BY39" s="29" t="str">
        <f t="shared" si="79"/>
        <v/>
      </c>
      <c r="BZ39" s="22"/>
      <c r="CA39" s="22"/>
      <c r="CB39" s="29" t="str">
        <f t="shared" si="61"/>
        <v/>
      </c>
      <c r="CC39" s="22"/>
      <c r="CD39" s="22"/>
      <c r="CE39" s="29" t="str">
        <f t="shared" si="62"/>
        <v/>
      </c>
      <c r="CF39" s="22"/>
      <c r="CG39" s="22"/>
      <c r="CH39" s="22"/>
      <c r="CI39" s="29" t="str">
        <f t="shared" si="63"/>
        <v/>
      </c>
      <c r="CJ39" s="22"/>
      <c r="CK39" s="22"/>
      <c r="CL39" s="22"/>
      <c r="CM39" s="29" t="str">
        <f t="shared" si="64"/>
        <v/>
      </c>
      <c r="CN39" s="22"/>
      <c r="CO39" s="22"/>
      <c r="CP39" s="22"/>
      <c r="CQ39" s="29" t="str">
        <f t="shared" si="65"/>
        <v/>
      </c>
      <c r="CR39" s="22"/>
      <c r="CS39" s="22"/>
      <c r="CT39" s="29" t="str">
        <f t="shared" si="80"/>
        <v/>
      </c>
      <c r="CU39" s="22"/>
      <c r="CV39" s="22"/>
      <c r="CW39" s="22"/>
      <c r="CX39" s="29" t="str">
        <f t="shared" si="66"/>
        <v/>
      </c>
      <c r="CY39" s="22"/>
      <c r="CZ39" s="22"/>
      <c r="DA39" s="22"/>
      <c r="DB39" s="29" t="str">
        <f t="shared" si="67"/>
        <v/>
      </c>
      <c r="DC39" s="22"/>
      <c r="DD39" s="22"/>
      <c r="DE39" s="29" t="str">
        <f t="shared" si="81"/>
        <v/>
      </c>
      <c r="DF39" s="22"/>
      <c r="DG39" s="22"/>
      <c r="DH39" s="22"/>
      <c r="DI39" s="29" t="str">
        <f t="shared" si="68"/>
        <v/>
      </c>
      <c r="DJ39" s="22"/>
      <c r="DK39" s="22"/>
      <c r="DL39" s="22"/>
      <c r="DM39" s="29" t="str">
        <f t="shared" si="50"/>
        <v/>
      </c>
      <c r="DN39" s="22"/>
      <c r="DO39" s="22"/>
      <c r="DP39" s="22"/>
      <c r="DQ39" s="29" t="str">
        <f t="shared" si="51"/>
        <v/>
      </c>
      <c r="DR39" s="22"/>
      <c r="DS39" s="22"/>
      <c r="DT39" s="22"/>
      <c r="DU39" s="29" t="str">
        <f t="shared" si="52"/>
        <v/>
      </c>
      <c r="DV39" s="22"/>
      <c r="DW39" s="22"/>
      <c r="DX39" s="22"/>
      <c r="DY39" s="29" t="str">
        <f t="shared" si="22"/>
        <v/>
      </c>
      <c r="DZ39" s="22"/>
      <c r="EA39" s="22"/>
      <c r="EB39" s="22"/>
      <c r="EC39" s="29" t="str">
        <f t="shared" si="23"/>
        <v/>
      </c>
      <c r="ED39" s="22"/>
      <c r="EE39" s="22"/>
      <c r="EF39" s="22"/>
      <c r="EG39" s="29" t="str">
        <f t="shared" si="24"/>
        <v/>
      </c>
      <c r="EH39" s="22"/>
      <c r="EI39" s="22"/>
      <c r="EJ39" s="22"/>
      <c r="EK39" s="29" t="str">
        <f t="shared" si="25"/>
        <v/>
      </c>
      <c r="EL39" s="22"/>
      <c r="EM39" s="22"/>
      <c r="EN39" s="22"/>
      <c r="EO39" s="29" t="str">
        <f t="shared" si="26"/>
        <v/>
      </c>
      <c r="EP39" s="22"/>
      <c r="EQ39" s="22"/>
      <c r="ER39" s="22"/>
      <c r="ES39" s="29" t="str">
        <f t="shared" si="27"/>
        <v/>
      </c>
      <c r="ET39" s="22"/>
      <c r="EU39" s="22"/>
      <c r="EV39" s="22"/>
      <c r="EW39" s="29" t="str">
        <f t="shared" si="28"/>
        <v/>
      </c>
      <c r="EX39" s="22"/>
      <c r="EY39" s="22"/>
      <c r="EZ39" s="22"/>
      <c r="FA39" s="29" t="str">
        <f t="shared" si="29"/>
        <v/>
      </c>
      <c r="FB39" s="22"/>
      <c r="FC39" s="22"/>
      <c r="FD39" s="22"/>
      <c r="FE39" s="29" t="str">
        <f t="shared" si="30"/>
        <v/>
      </c>
      <c r="FF39" s="22"/>
      <c r="FG39" s="22"/>
      <c r="FH39" s="22"/>
      <c r="FI39" s="29" t="str">
        <f t="shared" si="31"/>
        <v/>
      </c>
      <c r="FJ39" s="22"/>
      <c r="FK39" s="22"/>
      <c r="FL39" s="22"/>
      <c r="FM39" s="29" t="str">
        <f t="shared" si="32"/>
        <v/>
      </c>
      <c r="FN39" s="22"/>
      <c r="FO39" s="22"/>
      <c r="FP39" s="22"/>
      <c r="FQ39" s="29" t="str">
        <f t="shared" si="33"/>
        <v/>
      </c>
      <c r="FR39" s="22"/>
      <c r="FS39" s="22"/>
      <c r="FT39" s="22"/>
    </row>
    <row r="40" spans="1:176" x14ac:dyDescent="0.2">
      <c r="A40" s="30" t="str">
        <f t="shared" si="34"/>
        <v xml:space="preserve"> </v>
      </c>
      <c r="B40" s="23"/>
      <c r="C40" s="23"/>
      <c r="D40" s="23"/>
      <c r="E40" s="22"/>
      <c r="F40" s="22"/>
      <c r="G40" s="22"/>
      <c r="H40" s="29" t="str">
        <f t="shared" si="69"/>
        <v/>
      </c>
      <c r="I40" s="22"/>
      <c r="J40" s="22"/>
      <c r="K40" s="22"/>
      <c r="L40" s="29" t="str">
        <f t="shared" si="70"/>
        <v/>
      </c>
      <c r="M40" s="22"/>
      <c r="N40" s="22"/>
      <c r="O40" s="22"/>
      <c r="P40" s="29" t="str">
        <f t="shared" si="71"/>
        <v/>
      </c>
      <c r="Q40" s="22"/>
      <c r="R40" s="32" t="str">
        <f t="shared" si="72"/>
        <v/>
      </c>
      <c r="S40" s="24"/>
      <c r="T40" s="22"/>
      <c r="U40" s="32" t="str">
        <f t="shared" si="73"/>
        <v/>
      </c>
      <c r="V40" s="22"/>
      <c r="W40" s="22"/>
      <c r="X40" s="22"/>
      <c r="Y40" s="32" t="str">
        <f t="shared" si="74"/>
        <v/>
      </c>
      <c r="Z40" s="22"/>
      <c r="AA40" s="22"/>
      <c r="AB40" s="22"/>
      <c r="AC40" s="29" t="str">
        <f t="shared" si="53"/>
        <v/>
      </c>
      <c r="AD40" s="22"/>
      <c r="AE40" s="22"/>
      <c r="AF40" s="22"/>
      <c r="AG40" s="29" t="str">
        <f t="shared" si="54"/>
        <v/>
      </c>
      <c r="AH40" s="22"/>
      <c r="AI40" s="22"/>
      <c r="AJ40" s="22"/>
      <c r="AK40" s="29" t="str">
        <f t="shared" si="55"/>
        <v/>
      </c>
      <c r="AL40" s="22"/>
      <c r="AM40" s="22"/>
      <c r="AN40" s="22"/>
      <c r="AO40" s="29" t="str">
        <f t="shared" si="75"/>
        <v/>
      </c>
      <c r="AP40" s="22"/>
      <c r="AQ40" s="22"/>
      <c r="AR40" s="22"/>
      <c r="AS40" s="29" t="str">
        <f t="shared" si="76"/>
        <v/>
      </c>
      <c r="AT40" s="22"/>
      <c r="AU40" s="22"/>
      <c r="AV40" s="22"/>
      <c r="AW40" s="29" t="str">
        <f t="shared" si="77"/>
        <v/>
      </c>
      <c r="AX40" s="24"/>
      <c r="AY40" s="22"/>
      <c r="AZ40" s="22"/>
      <c r="BA40" s="29" t="str">
        <f t="shared" si="78"/>
        <v/>
      </c>
      <c r="BB40" s="22"/>
      <c r="BC40" s="22"/>
      <c r="BD40" s="22"/>
      <c r="BE40" s="29" t="str">
        <f t="shared" si="56"/>
        <v/>
      </c>
      <c r="BF40" s="22"/>
      <c r="BG40" s="22"/>
      <c r="BH40" s="22"/>
      <c r="BI40" s="29" t="str">
        <f t="shared" si="57"/>
        <v/>
      </c>
      <c r="BJ40" s="22"/>
      <c r="BK40" s="22"/>
      <c r="BL40" s="22"/>
      <c r="BM40" s="29" t="str">
        <f t="shared" si="58"/>
        <v/>
      </c>
      <c r="BN40" s="22"/>
      <c r="BO40" s="22"/>
      <c r="BP40" s="22"/>
      <c r="BQ40" s="29" t="str">
        <f t="shared" si="59"/>
        <v/>
      </c>
      <c r="BR40" s="22"/>
      <c r="BS40" s="22"/>
      <c r="BT40" s="22"/>
      <c r="BU40" s="29" t="str">
        <f t="shared" si="60"/>
        <v/>
      </c>
      <c r="BV40" s="22"/>
      <c r="BW40" s="22"/>
      <c r="BX40" s="22"/>
      <c r="BY40" s="29" t="str">
        <f t="shared" si="79"/>
        <v/>
      </c>
      <c r="BZ40" s="22"/>
      <c r="CA40" s="22"/>
      <c r="CB40" s="29" t="str">
        <f t="shared" si="61"/>
        <v/>
      </c>
      <c r="CC40" s="22"/>
      <c r="CD40" s="22"/>
      <c r="CE40" s="29" t="str">
        <f t="shared" si="62"/>
        <v/>
      </c>
      <c r="CF40" s="22"/>
      <c r="CG40" s="22"/>
      <c r="CH40" s="22"/>
      <c r="CI40" s="29" t="str">
        <f t="shared" si="63"/>
        <v/>
      </c>
      <c r="CJ40" s="22"/>
      <c r="CK40" s="22"/>
      <c r="CL40" s="22"/>
      <c r="CM40" s="29" t="str">
        <f t="shared" si="64"/>
        <v/>
      </c>
      <c r="CN40" s="22"/>
      <c r="CO40" s="22"/>
      <c r="CP40" s="22"/>
      <c r="CQ40" s="29" t="str">
        <f t="shared" si="65"/>
        <v/>
      </c>
      <c r="CR40" s="22"/>
      <c r="CS40" s="22"/>
      <c r="CT40" s="29" t="str">
        <f t="shared" si="80"/>
        <v/>
      </c>
      <c r="CU40" s="22"/>
      <c r="CV40" s="22"/>
      <c r="CW40" s="22"/>
      <c r="CX40" s="29" t="str">
        <f t="shared" si="66"/>
        <v/>
      </c>
      <c r="CY40" s="22"/>
      <c r="CZ40" s="22"/>
      <c r="DA40" s="22"/>
      <c r="DB40" s="29" t="str">
        <f t="shared" si="67"/>
        <v/>
      </c>
      <c r="DC40" s="22"/>
      <c r="DD40" s="22"/>
      <c r="DE40" s="29" t="str">
        <f t="shared" si="81"/>
        <v/>
      </c>
      <c r="DF40" s="22"/>
      <c r="DG40" s="22"/>
      <c r="DH40" s="22"/>
      <c r="DI40" s="29" t="str">
        <f t="shared" si="68"/>
        <v/>
      </c>
      <c r="DJ40" s="22"/>
      <c r="DK40" s="22"/>
      <c r="DL40" s="22"/>
      <c r="DM40" s="29" t="str">
        <f t="shared" si="50"/>
        <v/>
      </c>
      <c r="DN40" s="22"/>
      <c r="DO40" s="22"/>
      <c r="DP40" s="22"/>
      <c r="DQ40" s="29" t="str">
        <f t="shared" si="51"/>
        <v/>
      </c>
      <c r="DR40" s="22"/>
      <c r="DS40" s="22"/>
      <c r="DT40" s="22"/>
      <c r="DU40" s="29" t="str">
        <f t="shared" si="52"/>
        <v/>
      </c>
      <c r="DV40" s="22"/>
      <c r="DW40" s="22"/>
      <c r="DX40" s="22"/>
      <c r="DY40" s="29" t="str">
        <f t="shared" si="22"/>
        <v/>
      </c>
      <c r="DZ40" s="22"/>
      <c r="EA40" s="22"/>
      <c r="EB40" s="22"/>
      <c r="EC40" s="29" t="str">
        <f t="shared" si="23"/>
        <v/>
      </c>
      <c r="ED40" s="22"/>
      <c r="EE40" s="22"/>
      <c r="EF40" s="22"/>
      <c r="EG40" s="29" t="str">
        <f t="shared" si="24"/>
        <v/>
      </c>
      <c r="EH40" s="22"/>
      <c r="EI40" s="22"/>
      <c r="EJ40" s="22"/>
      <c r="EK40" s="29" t="str">
        <f t="shared" si="25"/>
        <v/>
      </c>
      <c r="EL40" s="22"/>
      <c r="EM40" s="22"/>
      <c r="EN40" s="22"/>
      <c r="EO40" s="29" t="str">
        <f t="shared" si="26"/>
        <v/>
      </c>
      <c r="EP40" s="22"/>
      <c r="EQ40" s="22"/>
      <c r="ER40" s="22"/>
      <c r="ES40" s="29" t="str">
        <f t="shared" si="27"/>
        <v/>
      </c>
      <c r="ET40" s="22"/>
      <c r="EU40" s="22"/>
      <c r="EV40" s="22"/>
      <c r="EW40" s="29" t="str">
        <f t="shared" si="28"/>
        <v/>
      </c>
      <c r="EX40" s="22"/>
      <c r="EY40" s="22"/>
      <c r="EZ40" s="22"/>
      <c r="FA40" s="29" t="str">
        <f t="shared" si="29"/>
        <v/>
      </c>
      <c r="FB40" s="22"/>
      <c r="FC40" s="22"/>
      <c r="FD40" s="22"/>
      <c r="FE40" s="29" t="str">
        <f t="shared" si="30"/>
        <v/>
      </c>
      <c r="FF40" s="22"/>
      <c r="FG40" s="22"/>
      <c r="FH40" s="22"/>
      <c r="FI40" s="29" t="str">
        <f t="shared" si="31"/>
        <v/>
      </c>
      <c r="FJ40" s="22"/>
      <c r="FK40" s="22"/>
      <c r="FL40" s="22"/>
      <c r="FM40" s="29" t="str">
        <f t="shared" si="32"/>
        <v/>
      </c>
      <c r="FN40" s="22"/>
      <c r="FO40" s="22"/>
      <c r="FP40" s="22"/>
      <c r="FQ40" s="29" t="str">
        <f t="shared" si="33"/>
        <v/>
      </c>
      <c r="FR40" s="22"/>
      <c r="FS40" s="22"/>
      <c r="FT40" s="22"/>
    </row>
    <row r="41" spans="1:176" x14ac:dyDescent="0.2">
      <c r="A41" s="30" t="str">
        <f t="shared" si="34"/>
        <v xml:space="preserve"> </v>
      </c>
      <c r="B41" s="23"/>
      <c r="C41" s="23"/>
      <c r="D41" s="23"/>
      <c r="E41" s="22"/>
      <c r="F41" s="22"/>
      <c r="G41" s="22"/>
      <c r="H41" s="29" t="str">
        <f t="shared" si="69"/>
        <v/>
      </c>
      <c r="I41" s="22"/>
      <c r="J41" s="22"/>
      <c r="K41" s="22"/>
      <c r="L41" s="29" t="str">
        <f t="shared" si="70"/>
        <v/>
      </c>
      <c r="M41" s="22"/>
      <c r="N41" s="22"/>
      <c r="O41" s="22"/>
      <c r="P41" s="29" t="str">
        <f t="shared" si="71"/>
        <v/>
      </c>
      <c r="Q41" s="22"/>
      <c r="R41" s="32" t="str">
        <f t="shared" si="72"/>
        <v/>
      </c>
      <c r="S41" s="24"/>
      <c r="T41" s="22"/>
      <c r="U41" s="32" t="str">
        <f t="shared" si="73"/>
        <v/>
      </c>
      <c r="V41" s="22"/>
      <c r="W41" s="22"/>
      <c r="X41" s="22"/>
      <c r="Y41" s="32" t="str">
        <f t="shared" si="74"/>
        <v/>
      </c>
      <c r="Z41" s="22"/>
      <c r="AA41" s="22"/>
      <c r="AB41" s="22"/>
      <c r="AC41" s="29" t="str">
        <f t="shared" si="53"/>
        <v/>
      </c>
      <c r="AD41" s="22"/>
      <c r="AE41" s="22"/>
      <c r="AF41" s="22"/>
      <c r="AG41" s="29" t="str">
        <f t="shared" si="54"/>
        <v/>
      </c>
      <c r="AH41" s="22"/>
      <c r="AI41" s="22"/>
      <c r="AJ41" s="22"/>
      <c r="AK41" s="29" t="str">
        <f t="shared" si="55"/>
        <v/>
      </c>
      <c r="AL41" s="22"/>
      <c r="AM41" s="22"/>
      <c r="AN41" s="22"/>
      <c r="AO41" s="29" t="str">
        <f t="shared" si="75"/>
        <v/>
      </c>
      <c r="AP41" s="22"/>
      <c r="AQ41" s="22"/>
      <c r="AR41" s="22"/>
      <c r="AS41" s="29" t="str">
        <f t="shared" si="76"/>
        <v/>
      </c>
      <c r="AT41" s="22"/>
      <c r="AU41" s="22"/>
      <c r="AV41" s="22"/>
      <c r="AW41" s="29" t="str">
        <f t="shared" si="77"/>
        <v/>
      </c>
      <c r="AX41" s="24"/>
      <c r="AY41" s="22"/>
      <c r="AZ41" s="22"/>
      <c r="BA41" s="29" t="str">
        <f t="shared" si="78"/>
        <v/>
      </c>
      <c r="BB41" s="22"/>
      <c r="BC41" s="22"/>
      <c r="BD41" s="22"/>
      <c r="BE41" s="29" t="str">
        <f t="shared" si="56"/>
        <v/>
      </c>
      <c r="BF41" s="22"/>
      <c r="BG41" s="22"/>
      <c r="BH41" s="22"/>
      <c r="BI41" s="29" t="str">
        <f t="shared" si="57"/>
        <v/>
      </c>
      <c r="BJ41" s="22"/>
      <c r="BK41" s="22"/>
      <c r="BL41" s="22"/>
      <c r="BM41" s="29" t="str">
        <f t="shared" si="58"/>
        <v/>
      </c>
      <c r="BN41" s="22"/>
      <c r="BO41" s="22"/>
      <c r="BP41" s="22"/>
      <c r="BQ41" s="29" t="str">
        <f t="shared" si="59"/>
        <v/>
      </c>
      <c r="BR41" s="22"/>
      <c r="BS41" s="22"/>
      <c r="BT41" s="22"/>
      <c r="BU41" s="29" t="str">
        <f t="shared" si="60"/>
        <v/>
      </c>
      <c r="BV41" s="22"/>
      <c r="BW41" s="22"/>
      <c r="BX41" s="22"/>
      <c r="BY41" s="29" t="str">
        <f t="shared" si="79"/>
        <v/>
      </c>
      <c r="BZ41" s="22"/>
      <c r="CA41" s="22"/>
      <c r="CB41" s="29" t="str">
        <f t="shared" si="61"/>
        <v/>
      </c>
      <c r="CC41" s="22"/>
      <c r="CD41" s="22"/>
      <c r="CE41" s="29" t="str">
        <f t="shared" si="62"/>
        <v/>
      </c>
      <c r="CF41" s="22"/>
      <c r="CG41" s="22"/>
      <c r="CH41" s="22"/>
      <c r="CI41" s="29" t="str">
        <f t="shared" si="63"/>
        <v/>
      </c>
      <c r="CJ41" s="22"/>
      <c r="CK41" s="22"/>
      <c r="CL41" s="22"/>
      <c r="CM41" s="29" t="str">
        <f t="shared" si="64"/>
        <v/>
      </c>
      <c r="CN41" s="22"/>
      <c r="CO41" s="22"/>
      <c r="CP41" s="22"/>
      <c r="CQ41" s="29" t="str">
        <f t="shared" si="65"/>
        <v/>
      </c>
      <c r="CR41" s="22"/>
      <c r="CS41" s="22"/>
      <c r="CT41" s="29" t="str">
        <f t="shared" si="80"/>
        <v/>
      </c>
      <c r="CU41" s="22"/>
      <c r="CV41" s="22"/>
      <c r="CW41" s="22"/>
      <c r="CX41" s="29" t="str">
        <f t="shared" si="66"/>
        <v/>
      </c>
      <c r="CY41" s="22"/>
      <c r="CZ41" s="22"/>
      <c r="DA41" s="22"/>
      <c r="DB41" s="29" t="str">
        <f t="shared" si="67"/>
        <v/>
      </c>
      <c r="DC41" s="22"/>
      <c r="DD41" s="22"/>
      <c r="DE41" s="29" t="str">
        <f t="shared" si="81"/>
        <v/>
      </c>
      <c r="DF41" s="22"/>
      <c r="DG41" s="22"/>
      <c r="DH41" s="22"/>
      <c r="DI41" s="29" t="str">
        <f t="shared" si="68"/>
        <v/>
      </c>
      <c r="DJ41" s="22"/>
      <c r="DK41" s="22"/>
      <c r="DL41" s="22"/>
      <c r="DM41" s="29" t="str">
        <f t="shared" si="50"/>
        <v/>
      </c>
      <c r="DN41" s="22"/>
      <c r="DO41" s="22"/>
      <c r="DP41" s="22"/>
      <c r="DQ41" s="29" t="str">
        <f t="shared" si="51"/>
        <v/>
      </c>
      <c r="DR41" s="22"/>
      <c r="DS41" s="22"/>
      <c r="DT41" s="22"/>
      <c r="DU41" s="29" t="str">
        <f t="shared" si="52"/>
        <v/>
      </c>
      <c r="DV41" s="22"/>
      <c r="DW41" s="22"/>
      <c r="DX41" s="22"/>
      <c r="DY41" s="29" t="str">
        <f t="shared" si="22"/>
        <v/>
      </c>
      <c r="DZ41" s="22"/>
      <c r="EA41" s="22"/>
      <c r="EB41" s="22"/>
      <c r="EC41" s="29" t="str">
        <f t="shared" si="23"/>
        <v/>
      </c>
      <c r="ED41" s="22"/>
      <c r="EE41" s="22"/>
      <c r="EF41" s="22"/>
      <c r="EG41" s="29" t="str">
        <f t="shared" si="24"/>
        <v/>
      </c>
      <c r="EH41" s="22"/>
      <c r="EI41" s="22"/>
      <c r="EJ41" s="22"/>
      <c r="EK41" s="29" t="str">
        <f t="shared" si="25"/>
        <v/>
      </c>
      <c r="EL41" s="22"/>
      <c r="EM41" s="22"/>
      <c r="EN41" s="22"/>
      <c r="EO41" s="29" t="str">
        <f t="shared" si="26"/>
        <v/>
      </c>
      <c r="EP41" s="22"/>
      <c r="EQ41" s="22"/>
      <c r="ER41" s="22"/>
      <c r="ES41" s="29" t="str">
        <f t="shared" si="27"/>
        <v/>
      </c>
      <c r="ET41" s="22"/>
      <c r="EU41" s="22"/>
      <c r="EV41" s="22"/>
      <c r="EW41" s="29" t="str">
        <f t="shared" si="28"/>
        <v/>
      </c>
      <c r="EX41" s="22"/>
      <c r="EY41" s="22"/>
      <c r="EZ41" s="22"/>
      <c r="FA41" s="29" t="str">
        <f t="shared" si="29"/>
        <v/>
      </c>
      <c r="FB41" s="22"/>
      <c r="FC41" s="22"/>
      <c r="FD41" s="22"/>
      <c r="FE41" s="29" t="str">
        <f t="shared" si="30"/>
        <v/>
      </c>
      <c r="FF41" s="22"/>
      <c r="FG41" s="22"/>
      <c r="FH41" s="22"/>
      <c r="FI41" s="29" t="str">
        <f t="shared" si="31"/>
        <v/>
      </c>
      <c r="FJ41" s="22"/>
      <c r="FK41" s="22"/>
      <c r="FL41" s="22"/>
      <c r="FM41" s="29" t="str">
        <f t="shared" si="32"/>
        <v/>
      </c>
      <c r="FN41" s="22"/>
      <c r="FO41" s="22"/>
      <c r="FP41" s="22"/>
      <c r="FQ41" s="29" t="str">
        <f t="shared" si="33"/>
        <v/>
      </c>
      <c r="FR41" s="22"/>
      <c r="FS41" s="22"/>
      <c r="FT41" s="22"/>
    </row>
    <row r="42" spans="1:176" x14ac:dyDescent="0.2">
      <c r="A42" s="30" t="str">
        <f t="shared" si="34"/>
        <v xml:space="preserve"> </v>
      </c>
      <c r="B42" s="23"/>
      <c r="C42" s="23"/>
      <c r="D42" s="23"/>
      <c r="E42" s="22"/>
      <c r="F42" s="22"/>
      <c r="G42" s="22"/>
      <c r="H42" s="29" t="str">
        <f t="shared" si="69"/>
        <v/>
      </c>
      <c r="I42" s="22"/>
      <c r="J42" s="22"/>
      <c r="K42" s="22"/>
      <c r="L42" s="29" t="str">
        <f t="shared" si="70"/>
        <v/>
      </c>
      <c r="M42" s="22"/>
      <c r="N42" s="22"/>
      <c r="O42" s="22"/>
      <c r="P42" s="29" t="str">
        <f t="shared" si="71"/>
        <v/>
      </c>
      <c r="Q42" s="22"/>
      <c r="R42" s="32" t="str">
        <f t="shared" si="72"/>
        <v/>
      </c>
      <c r="S42" s="24"/>
      <c r="T42" s="22"/>
      <c r="U42" s="32" t="str">
        <f t="shared" si="73"/>
        <v/>
      </c>
      <c r="V42" s="22"/>
      <c r="W42" s="22"/>
      <c r="X42" s="22"/>
      <c r="Y42" s="32" t="str">
        <f t="shared" si="74"/>
        <v/>
      </c>
      <c r="Z42" s="22"/>
      <c r="AA42" s="22"/>
      <c r="AB42" s="22"/>
      <c r="AC42" s="29" t="str">
        <f t="shared" si="53"/>
        <v/>
      </c>
      <c r="AD42" s="22"/>
      <c r="AE42" s="22"/>
      <c r="AF42" s="22"/>
      <c r="AG42" s="29" t="str">
        <f t="shared" si="54"/>
        <v/>
      </c>
      <c r="AH42" s="22"/>
      <c r="AI42" s="22"/>
      <c r="AJ42" s="22"/>
      <c r="AK42" s="29" t="str">
        <f t="shared" si="55"/>
        <v/>
      </c>
      <c r="AL42" s="22"/>
      <c r="AM42" s="22"/>
      <c r="AN42" s="22"/>
      <c r="AO42" s="29" t="str">
        <f t="shared" si="75"/>
        <v/>
      </c>
      <c r="AP42" s="22"/>
      <c r="AQ42" s="22"/>
      <c r="AR42" s="22"/>
      <c r="AS42" s="29" t="str">
        <f t="shared" si="76"/>
        <v/>
      </c>
      <c r="AT42" s="22"/>
      <c r="AU42" s="22"/>
      <c r="AV42" s="22"/>
      <c r="AW42" s="29" t="str">
        <f t="shared" si="77"/>
        <v/>
      </c>
      <c r="AX42" s="24"/>
      <c r="AY42" s="22"/>
      <c r="AZ42" s="22"/>
      <c r="BA42" s="29" t="str">
        <f t="shared" si="78"/>
        <v/>
      </c>
      <c r="BB42" s="22"/>
      <c r="BC42" s="22"/>
      <c r="BD42" s="22"/>
      <c r="BE42" s="29" t="str">
        <f t="shared" si="56"/>
        <v/>
      </c>
      <c r="BF42" s="22"/>
      <c r="BG42" s="22"/>
      <c r="BH42" s="22"/>
      <c r="BI42" s="29" t="str">
        <f t="shared" si="57"/>
        <v/>
      </c>
      <c r="BJ42" s="22"/>
      <c r="BK42" s="22"/>
      <c r="BL42" s="22"/>
      <c r="BM42" s="29" t="str">
        <f t="shared" si="58"/>
        <v/>
      </c>
      <c r="BN42" s="22"/>
      <c r="BO42" s="22"/>
      <c r="BP42" s="22"/>
      <c r="BQ42" s="29" t="str">
        <f t="shared" si="59"/>
        <v/>
      </c>
      <c r="BR42" s="22"/>
      <c r="BS42" s="22"/>
      <c r="BT42" s="22"/>
      <c r="BU42" s="29" t="str">
        <f t="shared" si="60"/>
        <v/>
      </c>
      <c r="BV42" s="22"/>
      <c r="BW42" s="22"/>
      <c r="BX42" s="22"/>
      <c r="BY42" s="29" t="str">
        <f t="shared" si="79"/>
        <v/>
      </c>
      <c r="BZ42" s="22"/>
      <c r="CA42" s="22"/>
      <c r="CB42" s="29" t="str">
        <f t="shared" si="61"/>
        <v/>
      </c>
      <c r="CC42" s="22"/>
      <c r="CD42" s="22"/>
      <c r="CE42" s="29" t="str">
        <f t="shared" si="62"/>
        <v/>
      </c>
      <c r="CF42" s="22"/>
      <c r="CG42" s="22"/>
      <c r="CH42" s="22"/>
      <c r="CI42" s="29" t="str">
        <f t="shared" si="63"/>
        <v/>
      </c>
      <c r="CJ42" s="22"/>
      <c r="CK42" s="22"/>
      <c r="CL42" s="22"/>
      <c r="CM42" s="29" t="str">
        <f t="shared" si="64"/>
        <v/>
      </c>
      <c r="CN42" s="22"/>
      <c r="CO42" s="22"/>
      <c r="CP42" s="22"/>
      <c r="CQ42" s="29" t="str">
        <f t="shared" si="65"/>
        <v/>
      </c>
      <c r="CR42" s="22"/>
      <c r="CS42" s="22"/>
      <c r="CT42" s="29" t="str">
        <f t="shared" si="80"/>
        <v/>
      </c>
      <c r="CU42" s="22"/>
      <c r="CV42" s="22"/>
      <c r="CW42" s="22"/>
      <c r="CX42" s="29" t="str">
        <f t="shared" si="66"/>
        <v/>
      </c>
      <c r="CY42" s="22"/>
      <c r="CZ42" s="22"/>
      <c r="DA42" s="22"/>
      <c r="DB42" s="29" t="str">
        <f t="shared" si="67"/>
        <v/>
      </c>
      <c r="DC42" s="22"/>
      <c r="DD42" s="22"/>
      <c r="DE42" s="29" t="str">
        <f t="shared" si="81"/>
        <v/>
      </c>
      <c r="DF42" s="22"/>
      <c r="DG42" s="22"/>
      <c r="DH42" s="22"/>
      <c r="DI42" s="29" t="str">
        <f t="shared" si="68"/>
        <v/>
      </c>
      <c r="DJ42" s="22"/>
      <c r="DK42" s="22"/>
      <c r="DL42" s="22"/>
      <c r="DM42" s="29" t="str">
        <f t="shared" si="50"/>
        <v/>
      </c>
      <c r="DN42" s="22"/>
      <c r="DO42" s="22"/>
      <c r="DP42" s="22"/>
      <c r="DQ42" s="29" t="str">
        <f t="shared" si="51"/>
        <v/>
      </c>
      <c r="DR42" s="22"/>
      <c r="DS42" s="22"/>
      <c r="DT42" s="22"/>
      <c r="DU42" s="29" t="str">
        <f t="shared" si="52"/>
        <v/>
      </c>
      <c r="DV42" s="22"/>
      <c r="DW42" s="22"/>
      <c r="DX42" s="22"/>
      <c r="DY42" s="29" t="str">
        <f t="shared" si="22"/>
        <v/>
      </c>
      <c r="DZ42" s="22"/>
      <c r="EA42" s="22"/>
      <c r="EB42" s="22"/>
      <c r="EC42" s="29" t="str">
        <f t="shared" si="23"/>
        <v/>
      </c>
      <c r="ED42" s="22"/>
      <c r="EE42" s="22"/>
      <c r="EF42" s="22"/>
      <c r="EG42" s="29" t="str">
        <f t="shared" si="24"/>
        <v/>
      </c>
      <c r="EH42" s="22"/>
      <c r="EI42" s="22"/>
      <c r="EJ42" s="22"/>
      <c r="EK42" s="29" t="str">
        <f t="shared" si="25"/>
        <v/>
      </c>
      <c r="EL42" s="22"/>
      <c r="EM42" s="22"/>
      <c r="EN42" s="22"/>
      <c r="EO42" s="29" t="str">
        <f t="shared" si="26"/>
        <v/>
      </c>
      <c r="EP42" s="22"/>
      <c r="EQ42" s="22"/>
      <c r="ER42" s="22"/>
      <c r="ES42" s="29" t="str">
        <f t="shared" si="27"/>
        <v/>
      </c>
      <c r="ET42" s="22"/>
      <c r="EU42" s="22"/>
      <c r="EV42" s="22"/>
      <c r="EW42" s="29" t="str">
        <f t="shared" si="28"/>
        <v/>
      </c>
      <c r="EX42" s="22"/>
      <c r="EY42" s="22"/>
      <c r="EZ42" s="22"/>
      <c r="FA42" s="29" t="str">
        <f t="shared" si="29"/>
        <v/>
      </c>
      <c r="FB42" s="22"/>
      <c r="FC42" s="22"/>
      <c r="FD42" s="22"/>
      <c r="FE42" s="29" t="str">
        <f t="shared" si="30"/>
        <v/>
      </c>
      <c r="FF42" s="22"/>
      <c r="FG42" s="22"/>
      <c r="FH42" s="22"/>
      <c r="FI42" s="29" t="str">
        <f t="shared" si="31"/>
        <v/>
      </c>
      <c r="FJ42" s="22"/>
      <c r="FK42" s="22"/>
      <c r="FL42" s="22"/>
      <c r="FM42" s="29" t="str">
        <f t="shared" si="32"/>
        <v/>
      </c>
      <c r="FN42" s="22"/>
      <c r="FO42" s="22"/>
      <c r="FP42" s="22"/>
      <c r="FQ42" s="29" t="str">
        <f t="shared" si="33"/>
        <v/>
      </c>
      <c r="FR42" s="22"/>
      <c r="FS42" s="22"/>
      <c r="FT42" s="22"/>
    </row>
    <row r="43" spans="1:176" x14ac:dyDescent="0.2">
      <c r="A43" s="30" t="str">
        <f t="shared" si="34"/>
        <v xml:space="preserve"> </v>
      </c>
      <c r="B43" s="26"/>
      <c r="C43" s="26"/>
      <c r="D43" s="23"/>
      <c r="E43" s="27"/>
      <c r="F43" s="22"/>
      <c r="G43" s="22"/>
      <c r="H43" s="29" t="str">
        <f t="shared" si="69"/>
        <v/>
      </c>
      <c r="I43" s="27"/>
      <c r="J43" s="27"/>
      <c r="K43" s="22"/>
      <c r="L43" s="29" t="str">
        <f t="shared" si="70"/>
        <v/>
      </c>
      <c r="M43" s="27"/>
      <c r="N43" s="27"/>
      <c r="O43" s="22"/>
      <c r="P43" s="29" t="str">
        <f t="shared" si="71"/>
        <v/>
      </c>
      <c r="Q43" s="22"/>
      <c r="R43" s="32" t="str">
        <f t="shared" si="72"/>
        <v/>
      </c>
      <c r="S43" s="24"/>
      <c r="T43" s="22"/>
      <c r="U43" s="31" t="str">
        <f t="shared" si="73"/>
        <v/>
      </c>
      <c r="V43" s="27"/>
      <c r="W43" s="27"/>
      <c r="X43" s="27"/>
      <c r="Y43" s="32" t="str">
        <f t="shared" si="74"/>
        <v/>
      </c>
      <c r="Z43" s="27"/>
      <c r="AA43" s="27"/>
      <c r="AB43" s="27"/>
      <c r="AC43" s="29" t="str">
        <f t="shared" si="53"/>
        <v/>
      </c>
      <c r="AD43" s="27"/>
      <c r="AE43" s="27"/>
      <c r="AF43" s="27"/>
      <c r="AG43" s="29" t="str">
        <f t="shared" si="54"/>
        <v/>
      </c>
      <c r="AH43" s="27"/>
      <c r="AI43" s="27"/>
      <c r="AJ43" s="27"/>
      <c r="AK43" s="29" t="str">
        <f t="shared" si="55"/>
        <v/>
      </c>
      <c r="AL43" s="27"/>
      <c r="AM43" s="27"/>
      <c r="AN43" s="27"/>
      <c r="AO43" s="29" t="str">
        <f t="shared" si="75"/>
        <v/>
      </c>
      <c r="AP43" s="27"/>
      <c r="AQ43" s="27"/>
      <c r="AR43" s="27"/>
      <c r="AS43" s="29" t="str">
        <f t="shared" si="76"/>
        <v/>
      </c>
      <c r="AT43" s="27"/>
      <c r="AU43" s="27"/>
      <c r="AV43" s="27"/>
      <c r="AW43" s="29" t="str">
        <f t="shared" si="77"/>
        <v/>
      </c>
      <c r="AX43" s="24"/>
      <c r="AY43" s="27"/>
      <c r="AZ43" s="27"/>
      <c r="BA43" s="29" t="str">
        <f t="shared" si="78"/>
        <v/>
      </c>
      <c r="BB43" s="27"/>
      <c r="BC43" s="27"/>
      <c r="BD43" s="27"/>
      <c r="BE43" s="29" t="str">
        <f t="shared" si="56"/>
        <v/>
      </c>
      <c r="BF43" s="27"/>
      <c r="BG43" s="27"/>
      <c r="BH43" s="27"/>
      <c r="BI43" s="29" t="str">
        <f t="shared" si="57"/>
        <v/>
      </c>
      <c r="BJ43" s="27"/>
      <c r="BK43" s="27"/>
      <c r="BL43" s="27"/>
      <c r="BM43" s="29" t="str">
        <f t="shared" si="58"/>
        <v/>
      </c>
      <c r="BN43" s="22"/>
      <c r="BO43" s="22"/>
      <c r="BP43" s="27"/>
      <c r="BQ43" s="29" t="str">
        <f t="shared" si="59"/>
        <v/>
      </c>
      <c r="BR43" s="27"/>
      <c r="BS43" s="27"/>
      <c r="BT43" s="27"/>
      <c r="BU43" s="29" t="str">
        <f t="shared" si="60"/>
        <v/>
      </c>
      <c r="BV43" s="27"/>
      <c r="BW43" s="27"/>
      <c r="BX43" s="27"/>
      <c r="BY43" s="29" t="str">
        <f t="shared" si="79"/>
        <v/>
      </c>
      <c r="BZ43" s="27"/>
      <c r="CA43" s="27"/>
      <c r="CB43" s="29" t="str">
        <f t="shared" si="61"/>
        <v/>
      </c>
      <c r="CC43" s="27"/>
      <c r="CD43" s="27"/>
      <c r="CE43" s="29" t="str">
        <f t="shared" si="62"/>
        <v/>
      </c>
      <c r="CF43" s="27"/>
      <c r="CG43" s="27"/>
      <c r="CH43" s="27"/>
      <c r="CI43" s="29" t="str">
        <f t="shared" si="63"/>
        <v/>
      </c>
      <c r="CJ43" s="27"/>
      <c r="CK43" s="27"/>
      <c r="CL43" s="27"/>
      <c r="CM43" s="29" t="str">
        <f t="shared" si="64"/>
        <v/>
      </c>
      <c r="CN43" s="27"/>
      <c r="CO43" s="27"/>
      <c r="CP43" s="27"/>
      <c r="CQ43" s="29" t="str">
        <f t="shared" si="65"/>
        <v/>
      </c>
      <c r="CR43" s="27"/>
      <c r="CS43" s="27"/>
      <c r="CT43" s="29" t="str">
        <f t="shared" si="80"/>
        <v/>
      </c>
      <c r="CU43" s="27"/>
      <c r="CV43" s="27"/>
      <c r="CW43" s="27"/>
      <c r="CX43" s="29" t="str">
        <f t="shared" si="66"/>
        <v/>
      </c>
      <c r="CY43" s="27"/>
      <c r="CZ43" s="27"/>
      <c r="DA43" s="27"/>
      <c r="DB43" s="29" t="str">
        <f t="shared" si="67"/>
        <v/>
      </c>
      <c r="DC43" s="27"/>
      <c r="DD43" s="27"/>
      <c r="DE43" s="29" t="str">
        <f t="shared" si="81"/>
        <v/>
      </c>
      <c r="DF43" s="27"/>
      <c r="DG43" s="27"/>
      <c r="DH43" s="27"/>
      <c r="DI43" s="29" t="str">
        <f t="shared" si="68"/>
        <v/>
      </c>
      <c r="DJ43" s="27"/>
      <c r="DK43" s="27"/>
      <c r="DL43" s="27"/>
      <c r="DM43" s="29" t="str">
        <f t="shared" si="50"/>
        <v/>
      </c>
      <c r="DN43" s="27"/>
      <c r="DO43" s="27"/>
      <c r="DP43" s="27"/>
      <c r="DQ43" s="29" t="str">
        <f t="shared" si="51"/>
        <v/>
      </c>
      <c r="DR43" s="27"/>
      <c r="DS43" s="27"/>
      <c r="DT43" s="27"/>
      <c r="DU43" s="29" t="str">
        <f t="shared" si="52"/>
        <v/>
      </c>
      <c r="DV43" s="27"/>
      <c r="DW43" s="27"/>
      <c r="DX43" s="27"/>
      <c r="DY43" s="29" t="str">
        <f t="shared" si="22"/>
        <v/>
      </c>
      <c r="DZ43" s="27"/>
      <c r="EA43" s="27"/>
      <c r="EB43" s="27"/>
      <c r="EC43" s="29" t="str">
        <f t="shared" si="23"/>
        <v/>
      </c>
      <c r="ED43" s="27"/>
      <c r="EE43" s="27"/>
      <c r="EF43" s="27"/>
      <c r="EG43" s="29" t="str">
        <f t="shared" si="24"/>
        <v/>
      </c>
      <c r="EH43" s="27"/>
      <c r="EI43" s="27"/>
      <c r="EJ43" s="27"/>
      <c r="EK43" s="29" t="str">
        <f t="shared" si="25"/>
        <v/>
      </c>
      <c r="EL43" s="27"/>
      <c r="EM43" s="27"/>
      <c r="EN43" s="27"/>
      <c r="EO43" s="29" t="str">
        <f t="shared" si="26"/>
        <v/>
      </c>
      <c r="EP43" s="27"/>
      <c r="EQ43" s="27"/>
      <c r="ER43" s="27"/>
      <c r="ES43" s="29" t="str">
        <f t="shared" si="27"/>
        <v/>
      </c>
      <c r="ET43" s="27"/>
      <c r="EU43" s="27"/>
      <c r="EV43" s="27"/>
      <c r="EW43" s="29" t="str">
        <f t="shared" si="28"/>
        <v/>
      </c>
      <c r="EX43" s="27"/>
      <c r="EY43" s="27"/>
      <c r="EZ43" s="27"/>
      <c r="FA43" s="29" t="str">
        <f t="shared" si="29"/>
        <v/>
      </c>
      <c r="FB43" s="27"/>
      <c r="FC43" s="27"/>
      <c r="FD43" s="27"/>
      <c r="FE43" s="29" t="str">
        <f t="shared" si="30"/>
        <v/>
      </c>
      <c r="FF43" s="27"/>
      <c r="FG43" s="27"/>
      <c r="FH43" s="27"/>
      <c r="FI43" s="29" t="str">
        <f t="shared" si="31"/>
        <v/>
      </c>
      <c r="FJ43" s="27"/>
      <c r="FK43" s="27"/>
      <c r="FL43" s="27"/>
      <c r="FM43" s="29" t="str">
        <f t="shared" si="32"/>
        <v/>
      </c>
      <c r="FN43" s="27"/>
      <c r="FO43" s="27"/>
      <c r="FP43" s="27"/>
      <c r="FQ43" s="29" t="str">
        <f t="shared" si="33"/>
        <v/>
      </c>
      <c r="FR43" s="27"/>
      <c r="FS43" s="27"/>
      <c r="FT43" s="27"/>
    </row>
    <row r="44" spans="1:176" x14ac:dyDescent="0.2">
      <c r="A44" s="30" t="str">
        <f t="shared" ref="A44:A78" si="82">(C44&amp;" "&amp;B44)</f>
        <v xml:space="preserve"> </v>
      </c>
      <c r="B44" s="26"/>
      <c r="C44" s="26"/>
      <c r="D44" s="23"/>
      <c r="E44" s="27"/>
      <c r="F44" s="22"/>
      <c r="G44" s="22"/>
      <c r="H44" s="29" t="str">
        <f t="shared" ref="H44:H78" si="83">IF(AND(E44=0,F44=0),"",(E44/F44))</f>
        <v/>
      </c>
      <c r="I44" s="27"/>
      <c r="J44" s="27"/>
      <c r="K44" s="22"/>
      <c r="L44" s="29" t="str">
        <f t="shared" ref="L44:L78" si="84">IF(AND(I44=0,J44=0),"",(I44/J44))</f>
        <v/>
      </c>
      <c r="M44" s="27"/>
      <c r="N44" s="27"/>
      <c r="O44" s="22"/>
      <c r="P44" s="29" t="str">
        <f t="shared" ref="P44:P78" si="85">IF(AND(M44=0,N44=0),"",(M44/N44))</f>
        <v/>
      </c>
      <c r="Q44" s="22"/>
      <c r="R44" s="32" t="str">
        <f t="shared" ref="R44:R78" si="86">IF(AND(M44=0,N44=0),"",(M44/N44))</f>
        <v/>
      </c>
      <c r="S44" s="24"/>
      <c r="T44" s="22"/>
      <c r="U44" s="31" t="str">
        <f t="shared" ref="U44:U78" si="87">IF(AND(N44=0, S44=0),"",(S44/N44))</f>
        <v/>
      </c>
      <c r="V44" s="27"/>
      <c r="W44" s="27"/>
      <c r="X44" s="27"/>
      <c r="Y44" s="32" t="str">
        <f t="shared" ref="Y44:Y78" si="88">IF(AND(V44=0, W44=0),"",(V44/W44)*100)</f>
        <v/>
      </c>
      <c r="Z44" s="27"/>
      <c r="AA44" s="27"/>
      <c r="AB44" s="27"/>
      <c r="AC44" s="29" t="str">
        <f t="shared" ref="AC44:AC78" si="89">IF(AND(Z44=0, AA44=0),"",(Z44*100/AA44))</f>
        <v/>
      </c>
      <c r="AD44" s="27"/>
      <c r="AE44" s="27"/>
      <c r="AF44" s="27"/>
      <c r="AG44" s="29" t="str">
        <f t="shared" ref="AG44:AG78" si="90">IF(AND(AD44=0, AE44=0),"",(AD44/AE44))</f>
        <v/>
      </c>
      <c r="AH44" s="27"/>
      <c r="AI44" s="27"/>
      <c r="AJ44" s="27"/>
      <c r="AK44" s="29" t="str">
        <f t="shared" ref="AK44:AK78" si="91">IF(AND(AH44=0, AI44=0),"",(AH44/AI44))</f>
        <v/>
      </c>
      <c r="AL44" s="27"/>
      <c r="AM44" s="27"/>
      <c r="AN44" s="27"/>
      <c r="AO44" s="29" t="str">
        <f t="shared" ref="AO44:AO78" si="92">IF(AND(AL44=0, AM44=0),"",(AL44/AM44))</f>
        <v/>
      </c>
      <c r="AP44" s="27"/>
      <c r="AQ44" s="27"/>
      <c r="AR44" s="27"/>
      <c r="AS44" s="29" t="str">
        <f t="shared" ref="AS44:AS78" si="93">IF(AND(AP44=0, AQ44=0),"",(AP44/AQ44)*100)</f>
        <v/>
      </c>
      <c r="AT44" s="27"/>
      <c r="AU44" s="27"/>
      <c r="AV44" s="27"/>
      <c r="AW44" s="29" t="str">
        <f t="shared" ref="AW44:AW78" si="94">IF(AND(AT44=0, AU44=0),"",(AT44/(AT44+AU44))*100)</f>
        <v/>
      </c>
      <c r="AX44" s="24"/>
      <c r="AY44" s="27"/>
      <c r="AZ44" s="27"/>
      <c r="BA44" s="29" t="str">
        <f t="shared" ref="BA44:BA78" si="95">IF(AND(AX44=0, AY44=0),"",(AX44/AY44)*100)</f>
        <v/>
      </c>
      <c r="BB44" s="27"/>
      <c r="BC44" s="27"/>
      <c r="BD44" s="27"/>
      <c r="BE44" s="29" t="str">
        <f t="shared" ref="BE44:BE78" si="96">IF(AND(BB44=0, BC44=0),"",(BB44/(BB44+BC44))*100)</f>
        <v/>
      </c>
      <c r="BF44" s="27"/>
      <c r="BG44" s="27"/>
      <c r="BH44" s="27"/>
      <c r="BI44" s="29" t="str">
        <f t="shared" ref="BI44:BI78" si="97">IF(AND(BF44=0, BG44=0),"",(BF44/BG44)*100)</f>
        <v/>
      </c>
      <c r="BJ44" s="27"/>
      <c r="BK44" s="27"/>
      <c r="BL44" s="27"/>
      <c r="BM44" s="29" t="str">
        <f t="shared" ref="BM44:BM78" si="98">IF(AND(BJ44=0, BK44=0),"",(BJ44/BK44)*100)</f>
        <v/>
      </c>
      <c r="BN44" s="22"/>
      <c r="BO44" s="22"/>
      <c r="BP44" s="27"/>
      <c r="BQ44" s="29" t="str">
        <f t="shared" ref="BQ44:BQ78" si="99">IF(AND(BN44=0,BO44=0),"",(BN44/BO44)*100)</f>
        <v/>
      </c>
      <c r="BR44" s="27"/>
      <c r="BS44" s="27"/>
      <c r="BT44" s="27"/>
      <c r="BU44" s="29" t="str">
        <f t="shared" ref="BU44:BU78" si="100">IF(AND(BR44=0, BS44=0),"",(BR44/(BR44+BS44))*100)</f>
        <v/>
      </c>
      <c r="BV44" s="27"/>
      <c r="BW44" s="27"/>
      <c r="BX44" s="27"/>
      <c r="BY44" s="29" t="str">
        <f t="shared" ref="BY44:BY78" si="101">IF(AND(BV44=0,BW44=0),"",((1-(BV44/BW44))*100))</f>
        <v/>
      </c>
      <c r="BZ44" s="27"/>
      <c r="CA44" s="27"/>
      <c r="CB44" s="29" t="str">
        <f t="shared" ref="CB44:CB78" si="102">IF(AND(BZ44=0,F44=0),"",(BZ44/F44))</f>
        <v/>
      </c>
      <c r="CC44" s="27"/>
      <c r="CD44" s="27"/>
      <c r="CE44" s="29" t="str">
        <f t="shared" ref="CE44:CE78" si="103">IF(AND(CC44=0,J44=0),"",(CC44/J44))</f>
        <v/>
      </c>
      <c r="CF44" s="27"/>
      <c r="CG44" s="27"/>
      <c r="CH44" s="27"/>
      <c r="CI44" s="29" t="str">
        <f t="shared" ref="CI44:CI78" si="104">IF(AND(CF44=0,CG44=0),"",(CF44/CG44))</f>
        <v/>
      </c>
      <c r="CJ44" s="27"/>
      <c r="CK44" s="27"/>
      <c r="CL44" s="27"/>
      <c r="CM44" s="29" t="str">
        <f t="shared" ref="CM44:CM78" si="105">IF(AND(CJ44=0,CK44=0),"",(CJ44/CK44))</f>
        <v/>
      </c>
      <c r="CN44" s="27"/>
      <c r="CO44" s="27"/>
      <c r="CP44" s="27"/>
      <c r="CQ44" s="29" t="str">
        <f t="shared" ref="CQ44:CQ78" si="106">IF(AND(CN44=0,CO44=0),"",(CN44/CO44))</f>
        <v/>
      </c>
      <c r="CR44" s="27"/>
      <c r="CS44" s="27"/>
      <c r="CT44" s="29" t="str">
        <f t="shared" ref="CT44:CT78" si="107">IF(AND(BZ44=0,CR44=0),"",(BZ44/CR44))</f>
        <v/>
      </c>
      <c r="CU44" s="27"/>
      <c r="CV44" s="27"/>
      <c r="CW44" s="27"/>
      <c r="CX44" s="29" t="str">
        <f t="shared" ref="CX44:CX78" si="108">IF(AND(CU44=0,CV44=0),"",(CU44/CV44))</f>
        <v/>
      </c>
      <c r="CY44" s="27"/>
      <c r="CZ44" s="27"/>
      <c r="DA44" s="27"/>
      <c r="DB44" s="29" t="str">
        <f t="shared" ref="DB44:DB78" si="109">IF(AND(CY44=0,CZ44=0),"",(CY44/CZ44))</f>
        <v/>
      </c>
      <c r="DC44" s="27"/>
      <c r="DD44" s="27"/>
      <c r="DE44" s="29" t="str">
        <f t="shared" ref="DE44:DE78" si="110">IF(AND(DC44=0,CZ44=0),"",(DC44/CZ44))</f>
        <v/>
      </c>
      <c r="DF44" s="27"/>
      <c r="DG44" s="27"/>
      <c r="DH44" s="27"/>
      <c r="DI44" s="29" t="str">
        <f t="shared" ref="DI44:DI78" si="111">IF(AND(DF44=0,DG44=0),"",(DF44/DG44))</f>
        <v/>
      </c>
      <c r="DJ44" s="27"/>
      <c r="DK44" s="27"/>
      <c r="DL44" s="27"/>
      <c r="DM44" s="29" t="str">
        <f t="shared" ref="DM44:DM78" si="112">IF(AND(DJ44=0,DK44=0),"",(DJ44/DK44))</f>
        <v/>
      </c>
      <c r="DN44" s="27"/>
      <c r="DO44" s="27"/>
      <c r="DP44" s="27"/>
      <c r="DQ44" s="29" t="str">
        <f t="shared" ref="DQ44:DQ78" si="113">IF(AND(DN44=0,DO44=0),"",(DN44/DO44))</f>
        <v/>
      </c>
      <c r="DR44" s="27"/>
      <c r="DS44" s="27"/>
      <c r="DT44" s="27"/>
      <c r="DU44" s="29" t="str">
        <f t="shared" ref="DU44:DU78" si="114">IF(AND(DR44=0,DS44=0),"",(DR44/DS44))</f>
        <v/>
      </c>
      <c r="DV44" s="27"/>
      <c r="DW44" s="27"/>
      <c r="DX44" s="27"/>
      <c r="DY44" s="29" t="str">
        <f t="shared" ref="DY44:DY78" si="115">IF(AND(DV44=0,DW44=0),"",(DV44/DW44))</f>
        <v/>
      </c>
      <c r="DZ44" s="27"/>
      <c r="EA44" s="27"/>
      <c r="EB44" s="27"/>
      <c r="EC44" s="29" t="str">
        <f t="shared" ref="EC44:EC78" si="116">IF(AND(DZ44=0,EA44=0),"",(DZ44/EA44))</f>
        <v/>
      </c>
      <c r="ED44" s="27"/>
      <c r="EE44" s="27"/>
      <c r="EF44" s="27"/>
      <c r="EG44" s="29" t="str">
        <f t="shared" ref="EG44:EG78" si="117">IF(AND(ED44=0,EE44=0),"",(ED44/EE44))</f>
        <v/>
      </c>
      <c r="EH44" s="27"/>
      <c r="EI44" s="27"/>
      <c r="EJ44" s="27"/>
      <c r="EK44" s="29" t="str">
        <f t="shared" ref="EK44:EK78" si="118">IF(AND(EH44=0,EI44=0),"",(EH44/EI44))</f>
        <v/>
      </c>
      <c r="EL44" s="27"/>
      <c r="EM44" s="27"/>
      <c r="EN44" s="27"/>
      <c r="EO44" s="29" t="str">
        <f t="shared" ref="EO44:EO78" si="119">IF(AND(EL44=0,EM44=0),"",(EL44/EM44))</f>
        <v/>
      </c>
      <c r="EP44" s="27"/>
      <c r="EQ44" s="27"/>
      <c r="ER44" s="27"/>
      <c r="ES44" s="29" t="str">
        <f t="shared" ref="ES44:ES78" si="120">IF(AND(EP44=0,EQ44=0),"",(EP44/EQ44))</f>
        <v/>
      </c>
      <c r="ET44" s="27"/>
      <c r="EU44" s="27"/>
      <c r="EV44" s="27"/>
      <c r="EW44" s="29" t="str">
        <f t="shared" ref="EW44:EW78" si="121">IF(AND(ET44=0,EU44=0),"",(ET44/EU44))</f>
        <v/>
      </c>
      <c r="EX44" s="27"/>
      <c r="EY44" s="27"/>
      <c r="EZ44" s="27"/>
      <c r="FA44" s="29" t="str">
        <f t="shared" ref="FA44:FA78" si="122">IF(AND(EX44=0,EY44=0),"",(EX44/EY44))</f>
        <v/>
      </c>
      <c r="FB44" s="27"/>
      <c r="FC44" s="27"/>
      <c r="FD44" s="27"/>
      <c r="FE44" s="29" t="str">
        <f t="shared" ref="FE44:FE78" si="123">IF(AND(FB44=0,FC44=0),"",(FB44/FC44))</f>
        <v/>
      </c>
      <c r="FF44" s="27"/>
      <c r="FG44" s="27"/>
      <c r="FH44" s="27"/>
      <c r="FI44" s="29" t="str">
        <f t="shared" ref="FI44:FI78" si="124">IF(AND(FF44=0,FG44=0),"",(FF44/FG44))</f>
        <v/>
      </c>
      <c r="FJ44" s="27"/>
      <c r="FK44" s="27"/>
      <c r="FL44" s="27"/>
      <c r="FM44" s="29" t="str">
        <f t="shared" ref="FM44:FM78" si="125">IF(AND(FJ44=0,FK44=0),"",(FJ44/FK44))</f>
        <v/>
      </c>
      <c r="FN44" s="27"/>
      <c r="FO44" s="27"/>
      <c r="FP44" s="27"/>
      <c r="FQ44" s="29" t="str">
        <f t="shared" ref="FQ44:FQ78" si="126">IF(AND(FN44=0,FO44=0),"",(FN44/FO44))</f>
        <v/>
      </c>
      <c r="FR44" s="27"/>
      <c r="FS44" s="27"/>
      <c r="FT44" s="27"/>
    </row>
    <row r="45" spans="1:176" x14ac:dyDescent="0.2">
      <c r="A45" s="30" t="str">
        <f t="shared" si="82"/>
        <v xml:space="preserve"> </v>
      </c>
      <c r="B45" s="26"/>
      <c r="C45" s="26"/>
      <c r="D45" s="23"/>
      <c r="E45" s="27"/>
      <c r="F45" s="22"/>
      <c r="G45" s="22"/>
      <c r="H45" s="29" t="str">
        <f t="shared" si="83"/>
        <v/>
      </c>
      <c r="I45" s="27"/>
      <c r="J45" s="27"/>
      <c r="K45" s="22"/>
      <c r="L45" s="29" t="str">
        <f t="shared" si="84"/>
        <v/>
      </c>
      <c r="M45" s="27"/>
      <c r="N45" s="27"/>
      <c r="O45" s="22"/>
      <c r="P45" s="29" t="str">
        <f t="shared" si="85"/>
        <v/>
      </c>
      <c r="Q45" s="22"/>
      <c r="R45" s="32" t="str">
        <f t="shared" si="86"/>
        <v/>
      </c>
      <c r="S45" s="24"/>
      <c r="T45" s="22"/>
      <c r="U45" s="31" t="str">
        <f t="shared" si="87"/>
        <v/>
      </c>
      <c r="V45" s="27"/>
      <c r="W45" s="27"/>
      <c r="X45" s="27"/>
      <c r="Y45" s="32" t="str">
        <f t="shared" si="88"/>
        <v/>
      </c>
      <c r="Z45" s="27"/>
      <c r="AA45" s="27"/>
      <c r="AB45" s="27"/>
      <c r="AC45" s="29" t="str">
        <f t="shared" si="89"/>
        <v/>
      </c>
      <c r="AD45" s="27"/>
      <c r="AE45" s="27"/>
      <c r="AF45" s="27"/>
      <c r="AG45" s="29" t="str">
        <f t="shared" si="90"/>
        <v/>
      </c>
      <c r="AH45" s="27"/>
      <c r="AI45" s="27"/>
      <c r="AJ45" s="27"/>
      <c r="AK45" s="29" t="str">
        <f t="shared" si="91"/>
        <v/>
      </c>
      <c r="AL45" s="27"/>
      <c r="AM45" s="27"/>
      <c r="AN45" s="27"/>
      <c r="AO45" s="29" t="str">
        <f t="shared" si="92"/>
        <v/>
      </c>
      <c r="AP45" s="27"/>
      <c r="AQ45" s="27"/>
      <c r="AR45" s="27"/>
      <c r="AS45" s="29" t="str">
        <f t="shared" si="93"/>
        <v/>
      </c>
      <c r="AT45" s="27"/>
      <c r="AU45" s="27"/>
      <c r="AV45" s="27"/>
      <c r="AW45" s="29" t="str">
        <f t="shared" si="94"/>
        <v/>
      </c>
      <c r="AX45" s="24"/>
      <c r="AY45" s="27"/>
      <c r="AZ45" s="27"/>
      <c r="BA45" s="29" t="str">
        <f t="shared" si="95"/>
        <v/>
      </c>
      <c r="BB45" s="27"/>
      <c r="BC45" s="27"/>
      <c r="BD45" s="27"/>
      <c r="BE45" s="29" t="str">
        <f t="shared" si="96"/>
        <v/>
      </c>
      <c r="BF45" s="27"/>
      <c r="BG45" s="27"/>
      <c r="BH45" s="27"/>
      <c r="BI45" s="29" t="str">
        <f t="shared" si="97"/>
        <v/>
      </c>
      <c r="BJ45" s="27"/>
      <c r="BK45" s="27"/>
      <c r="BL45" s="27"/>
      <c r="BM45" s="29" t="str">
        <f t="shared" si="98"/>
        <v/>
      </c>
      <c r="BN45" s="22"/>
      <c r="BO45" s="22"/>
      <c r="BP45" s="27"/>
      <c r="BQ45" s="29" t="str">
        <f t="shared" si="99"/>
        <v/>
      </c>
      <c r="BR45" s="27"/>
      <c r="BS45" s="27"/>
      <c r="BT45" s="27"/>
      <c r="BU45" s="29" t="str">
        <f t="shared" si="100"/>
        <v/>
      </c>
      <c r="BV45" s="27"/>
      <c r="BW45" s="27"/>
      <c r="BX45" s="27"/>
      <c r="BY45" s="29" t="str">
        <f t="shared" si="101"/>
        <v/>
      </c>
      <c r="BZ45" s="27"/>
      <c r="CA45" s="27"/>
      <c r="CB45" s="29" t="str">
        <f t="shared" si="102"/>
        <v/>
      </c>
      <c r="CC45" s="27"/>
      <c r="CD45" s="27"/>
      <c r="CE45" s="29" t="str">
        <f t="shared" si="103"/>
        <v/>
      </c>
      <c r="CF45" s="27"/>
      <c r="CG45" s="27"/>
      <c r="CH45" s="27"/>
      <c r="CI45" s="29" t="str">
        <f t="shared" si="104"/>
        <v/>
      </c>
      <c r="CJ45" s="27"/>
      <c r="CK45" s="27"/>
      <c r="CL45" s="27"/>
      <c r="CM45" s="29" t="str">
        <f t="shared" si="105"/>
        <v/>
      </c>
      <c r="CN45" s="27"/>
      <c r="CO45" s="27"/>
      <c r="CP45" s="27"/>
      <c r="CQ45" s="29" t="str">
        <f t="shared" si="106"/>
        <v/>
      </c>
      <c r="CR45" s="27"/>
      <c r="CS45" s="27"/>
      <c r="CT45" s="29" t="str">
        <f t="shared" si="107"/>
        <v/>
      </c>
      <c r="CU45" s="27"/>
      <c r="CV45" s="27"/>
      <c r="CW45" s="27"/>
      <c r="CX45" s="29" t="str">
        <f t="shared" si="108"/>
        <v/>
      </c>
      <c r="CY45" s="27"/>
      <c r="CZ45" s="27"/>
      <c r="DA45" s="27"/>
      <c r="DB45" s="29" t="str">
        <f t="shared" si="109"/>
        <v/>
      </c>
      <c r="DC45" s="27"/>
      <c r="DD45" s="27"/>
      <c r="DE45" s="29" t="str">
        <f t="shared" si="110"/>
        <v/>
      </c>
      <c r="DF45" s="27"/>
      <c r="DG45" s="27"/>
      <c r="DH45" s="27"/>
      <c r="DI45" s="29" t="str">
        <f t="shared" si="111"/>
        <v/>
      </c>
      <c r="DJ45" s="27"/>
      <c r="DK45" s="27"/>
      <c r="DL45" s="27"/>
      <c r="DM45" s="29" t="str">
        <f t="shared" si="112"/>
        <v/>
      </c>
      <c r="DN45" s="27"/>
      <c r="DO45" s="27"/>
      <c r="DP45" s="27"/>
      <c r="DQ45" s="29" t="str">
        <f t="shared" si="113"/>
        <v/>
      </c>
      <c r="DR45" s="27"/>
      <c r="DS45" s="27"/>
      <c r="DT45" s="27"/>
      <c r="DU45" s="29" t="str">
        <f t="shared" si="114"/>
        <v/>
      </c>
      <c r="DV45" s="27"/>
      <c r="DW45" s="27"/>
      <c r="DX45" s="27"/>
      <c r="DY45" s="29" t="str">
        <f t="shared" si="115"/>
        <v/>
      </c>
      <c r="DZ45" s="27"/>
      <c r="EA45" s="27"/>
      <c r="EB45" s="27"/>
      <c r="EC45" s="29" t="str">
        <f t="shared" si="116"/>
        <v/>
      </c>
      <c r="ED45" s="27"/>
      <c r="EE45" s="27"/>
      <c r="EF45" s="27"/>
      <c r="EG45" s="29" t="str">
        <f t="shared" si="117"/>
        <v/>
      </c>
      <c r="EH45" s="27"/>
      <c r="EI45" s="27"/>
      <c r="EJ45" s="27"/>
      <c r="EK45" s="29" t="str">
        <f t="shared" si="118"/>
        <v/>
      </c>
      <c r="EL45" s="27"/>
      <c r="EM45" s="27"/>
      <c r="EN45" s="27"/>
      <c r="EO45" s="29" t="str">
        <f t="shared" si="119"/>
        <v/>
      </c>
      <c r="EP45" s="27"/>
      <c r="EQ45" s="27"/>
      <c r="ER45" s="27"/>
      <c r="ES45" s="29" t="str">
        <f t="shared" si="120"/>
        <v/>
      </c>
      <c r="ET45" s="27"/>
      <c r="EU45" s="27"/>
      <c r="EV45" s="27"/>
      <c r="EW45" s="29" t="str">
        <f t="shared" si="121"/>
        <v/>
      </c>
      <c r="EX45" s="27"/>
      <c r="EY45" s="27"/>
      <c r="EZ45" s="27"/>
      <c r="FA45" s="29" t="str">
        <f t="shared" si="122"/>
        <v/>
      </c>
      <c r="FB45" s="27"/>
      <c r="FC45" s="27"/>
      <c r="FD45" s="27"/>
      <c r="FE45" s="29" t="str">
        <f t="shared" si="123"/>
        <v/>
      </c>
      <c r="FF45" s="27"/>
      <c r="FG45" s="27"/>
      <c r="FH45" s="27"/>
      <c r="FI45" s="29" t="str">
        <f t="shared" si="124"/>
        <v/>
      </c>
      <c r="FJ45" s="27"/>
      <c r="FK45" s="27"/>
      <c r="FL45" s="27"/>
      <c r="FM45" s="29" t="str">
        <f t="shared" si="125"/>
        <v/>
      </c>
      <c r="FN45" s="27"/>
      <c r="FO45" s="27"/>
      <c r="FP45" s="27"/>
      <c r="FQ45" s="29" t="str">
        <f t="shared" si="126"/>
        <v/>
      </c>
      <c r="FR45" s="27"/>
      <c r="FS45" s="27"/>
      <c r="FT45" s="27"/>
    </row>
    <row r="46" spans="1:176" x14ac:dyDescent="0.2">
      <c r="A46" s="30" t="str">
        <f t="shared" si="82"/>
        <v xml:space="preserve"> </v>
      </c>
      <c r="B46" s="26"/>
      <c r="C46" s="26"/>
      <c r="D46" s="23"/>
      <c r="E46" s="27"/>
      <c r="F46" s="22"/>
      <c r="G46" s="22"/>
      <c r="H46" s="29" t="str">
        <f t="shared" si="83"/>
        <v/>
      </c>
      <c r="I46" s="27"/>
      <c r="J46" s="27"/>
      <c r="K46" s="22"/>
      <c r="L46" s="29" t="str">
        <f t="shared" si="84"/>
        <v/>
      </c>
      <c r="M46" s="27"/>
      <c r="N46" s="27"/>
      <c r="O46" s="22"/>
      <c r="P46" s="29" t="str">
        <f t="shared" si="85"/>
        <v/>
      </c>
      <c r="Q46" s="22"/>
      <c r="R46" s="32" t="str">
        <f t="shared" si="86"/>
        <v/>
      </c>
      <c r="S46" s="24"/>
      <c r="T46" s="22"/>
      <c r="U46" s="31" t="str">
        <f t="shared" si="87"/>
        <v/>
      </c>
      <c r="V46" s="27"/>
      <c r="W46" s="27"/>
      <c r="X46" s="27"/>
      <c r="Y46" s="32" t="str">
        <f t="shared" si="88"/>
        <v/>
      </c>
      <c r="Z46" s="27"/>
      <c r="AA46" s="27"/>
      <c r="AB46" s="27"/>
      <c r="AC46" s="29" t="str">
        <f t="shared" si="89"/>
        <v/>
      </c>
      <c r="AD46" s="27"/>
      <c r="AE46" s="27"/>
      <c r="AF46" s="27"/>
      <c r="AG46" s="29" t="str">
        <f t="shared" si="90"/>
        <v/>
      </c>
      <c r="AH46" s="27"/>
      <c r="AI46" s="27"/>
      <c r="AJ46" s="27"/>
      <c r="AK46" s="29" t="str">
        <f t="shared" si="91"/>
        <v/>
      </c>
      <c r="AL46" s="27"/>
      <c r="AM46" s="27"/>
      <c r="AN46" s="27"/>
      <c r="AO46" s="29" t="str">
        <f t="shared" si="92"/>
        <v/>
      </c>
      <c r="AP46" s="27"/>
      <c r="AQ46" s="27"/>
      <c r="AR46" s="27"/>
      <c r="AS46" s="29" t="str">
        <f t="shared" si="93"/>
        <v/>
      </c>
      <c r="AT46" s="27"/>
      <c r="AU46" s="27"/>
      <c r="AV46" s="27"/>
      <c r="AW46" s="29" t="str">
        <f t="shared" si="94"/>
        <v/>
      </c>
      <c r="AX46" s="24"/>
      <c r="AY46" s="27"/>
      <c r="AZ46" s="27"/>
      <c r="BA46" s="29" t="str">
        <f t="shared" si="95"/>
        <v/>
      </c>
      <c r="BB46" s="27"/>
      <c r="BC46" s="27"/>
      <c r="BD46" s="27"/>
      <c r="BE46" s="29" t="str">
        <f t="shared" si="96"/>
        <v/>
      </c>
      <c r="BF46" s="27"/>
      <c r="BG46" s="27"/>
      <c r="BH46" s="27"/>
      <c r="BI46" s="29" t="str">
        <f t="shared" si="97"/>
        <v/>
      </c>
      <c r="BJ46" s="27"/>
      <c r="BK46" s="27"/>
      <c r="BL46" s="27"/>
      <c r="BM46" s="29" t="str">
        <f t="shared" si="98"/>
        <v/>
      </c>
      <c r="BN46" s="22"/>
      <c r="BO46" s="22"/>
      <c r="BP46" s="27"/>
      <c r="BQ46" s="29" t="str">
        <f t="shared" si="99"/>
        <v/>
      </c>
      <c r="BR46" s="27"/>
      <c r="BS46" s="27"/>
      <c r="BT46" s="27"/>
      <c r="BU46" s="29" t="str">
        <f t="shared" si="100"/>
        <v/>
      </c>
      <c r="BV46" s="27"/>
      <c r="BW46" s="27"/>
      <c r="BX46" s="27"/>
      <c r="BY46" s="29" t="str">
        <f t="shared" si="101"/>
        <v/>
      </c>
      <c r="BZ46" s="27"/>
      <c r="CA46" s="27"/>
      <c r="CB46" s="29" t="str">
        <f t="shared" si="102"/>
        <v/>
      </c>
      <c r="CC46" s="27"/>
      <c r="CD46" s="27"/>
      <c r="CE46" s="29" t="str">
        <f t="shared" si="103"/>
        <v/>
      </c>
      <c r="CF46" s="27"/>
      <c r="CG46" s="27"/>
      <c r="CH46" s="27"/>
      <c r="CI46" s="29" t="str">
        <f t="shared" si="104"/>
        <v/>
      </c>
      <c r="CJ46" s="27"/>
      <c r="CK46" s="27"/>
      <c r="CL46" s="27"/>
      <c r="CM46" s="29" t="str">
        <f t="shared" si="105"/>
        <v/>
      </c>
      <c r="CN46" s="27"/>
      <c r="CO46" s="27"/>
      <c r="CP46" s="27"/>
      <c r="CQ46" s="29" t="str">
        <f t="shared" si="106"/>
        <v/>
      </c>
      <c r="CR46" s="27"/>
      <c r="CS46" s="27"/>
      <c r="CT46" s="29" t="str">
        <f t="shared" si="107"/>
        <v/>
      </c>
      <c r="CU46" s="27"/>
      <c r="CV46" s="27"/>
      <c r="CW46" s="27"/>
      <c r="CX46" s="29" t="str">
        <f t="shared" si="108"/>
        <v/>
      </c>
      <c r="CY46" s="27"/>
      <c r="CZ46" s="27"/>
      <c r="DA46" s="27"/>
      <c r="DB46" s="29" t="str">
        <f t="shared" si="109"/>
        <v/>
      </c>
      <c r="DC46" s="27"/>
      <c r="DD46" s="27"/>
      <c r="DE46" s="29" t="str">
        <f t="shared" si="110"/>
        <v/>
      </c>
      <c r="DF46" s="27"/>
      <c r="DG46" s="27"/>
      <c r="DH46" s="27"/>
      <c r="DI46" s="29" t="str">
        <f t="shared" si="111"/>
        <v/>
      </c>
      <c r="DJ46" s="27"/>
      <c r="DK46" s="27"/>
      <c r="DL46" s="27"/>
      <c r="DM46" s="29" t="str">
        <f t="shared" si="112"/>
        <v/>
      </c>
      <c r="DN46" s="27"/>
      <c r="DO46" s="27"/>
      <c r="DP46" s="27"/>
      <c r="DQ46" s="29" t="str">
        <f t="shared" si="113"/>
        <v/>
      </c>
      <c r="DR46" s="27"/>
      <c r="DS46" s="27"/>
      <c r="DT46" s="27"/>
      <c r="DU46" s="29" t="str">
        <f t="shared" si="114"/>
        <v/>
      </c>
      <c r="DV46" s="27"/>
      <c r="DW46" s="27"/>
      <c r="DX46" s="27"/>
      <c r="DY46" s="29" t="str">
        <f t="shared" si="115"/>
        <v/>
      </c>
      <c r="DZ46" s="27"/>
      <c r="EA46" s="27"/>
      <c r="EB46" s="27"/>
      <c r="EC46" s="29" t="str">
        <f t="shared" si="116"/>
        <v/>
      </c>
      <c r="ED46" s="27"/>
      <c r="EE46" s="27"/>
      <c r="EF46" s="27"/>
      <c r="EG46" s="29" t="str">
        <f t="shared" si="117"/>
        <v/>
      </c>
      <c r="EH46" s="27"/>
      <c r="EI46" s="27"/>
      <c r="EJ46" s="27"/>
      <c r="EK46" s="29" t="str">
        <f t="shared" si="118"/>
        <v/>
      </c>
      <c r="EL46" s="27"/>
      <c r="EM46" s="27"/>
      <c r="EN46" s="27"/>
      <c r="EO46" s="29" t="str">
        <f t="shared" si="119"/>
        <v/>
      </c>
      <c r="EP46" s="27"/>
      <c r="EQ46" s="27"/>
      <c r="ER46" s="27"/>
      <c r="ES46" s="29" t="str">
        <f t="shared" si="120"/>
        <v/>
      </c>
      <c r="ET46" s="27"/>
      <c r="EU46" s="27"/>
      <c r="EV46" s="27"/>
      <c r="EW46" s="29" t="str">
        <f t="shared" si="121"/>
        <v/>
      </c>
      <c r="EX46" s="27"/>
      <c r="EY46" s="27"/>
      <c r="EZ46" s="27"/>
      <c r="FA46" s="29" t="str">
        <f t="shared" si="122"/>
        <v/>
      </c>
      <c r="FB46" s="27"/>
      <c r="FC46" s="27"/>
      <c r="FD46" s="27"/>
      <c r="FE46" s="29" t="str">
        <f t="shared" si="123"/>
        <v/>
      </c>
      <c r="FF46" s="27"/>
      <c r="FG46" s="27"/>
      <c r="FH46" s="27"/>
      <c r="FI46" s="29" t="str">
        <f t="shared" si="124"/>
        <v/>
      </c>
      <c r="FJ46" s="27"/>
      <c r="FK46" s="27"/>
      <c r="FL46" s="27"/>
      <c r="FM46" s="29" t="str">
        <f t="shared" si="125"/>
        <v/>
      </c>
      <c r="FN46" s="27"/>
      <c r="FO46" s="27"/>
      <c r="FP46" s="27"/>
      <c r="FQ46" s="29" t="str">
        <f t="shared" si="126"/>
        <v/>
      </c>
      <c r="FR46" s="27"/>
      <c r="FS46" s="27"/>
      <c r="FT46" s="27"/>
    </row>
    <row r="47" spans="1:176" x14ac:dyDescent="0.2">
      <c r="A47" s="30" t="str">
        <f t="shared" si="82"/>
        <v xml:space="preserve"> </v>
      </c>
      <c r="B47" s="26"/>
      <c r="C47" s="26"/>
      <c r="D47" s="23"/>
      <c r="E47" s="27"/>
      <c r="F47" s="22"/>
      <c r="G47" s="22"/>
      <c r="H47" s="29" t="str">
        <f t="shared" si="83"/>
        <v/>
      </c>
      <c r="I47" s="27"/>
      <c r="J47" s="27"/>
      <c r="K47" s="22"/>
      <c r="L47" s="29" t="str">
        <f t="shared" si="84"/>
        <v/>
      </c>
      <c r="M47" s="27"/>
      <c r="N47" s="27"/>
      <c r="O47" s="22"/>
      <c r="P47" s="29" t="str">
        <f t="shared" si="85"/>
        <v/>
      </c>
      <c r="Q47" s="22"/>
      <c r="R47" s="32" t="str">
        <f t="shared" si="86"/>
        <v/>
      </c>
      <c r="S47" s="24"/>
      <c r="T47" s="22"/>
      <c r="U47" s="31" t="str">
        <f t="shared" si="87"/>
        <v/>
      </c>
      <c r="V47" s="27"/>
      <c r="W47" s="27"/>
      <c r="X47" s="27"/>
      <c r="Y47" s="32" t="str">
        <f t="shared" si="88"/>
        <v/>
      </c>
      <c r="Z47" s="27"/>
      <c r="AA47" s="27"/>
      <c r="AB47" s="27"/>
      <c r="AC47" s="29" t="str">
        <f t="shared" si="89"/>
        <v/>
      </c>
      <c r="AD47" s="27"/>
      <c r="AE47" s="27"/>
      <c r="AF47" s="27"/>
      <c r="AG47" s="29" t="str">
        <f t="shared" si="90"/>
        <v/>
      </c>
      <c r="AH47" s="27"/>
      <c r="AI47" s="27"/>
      <c r="AJ47" s="27"/>
      <c r="AK47" s="29" t="str">
        <f t="shared" si="91"/>
        <v/>
      </c>
      <c r="AL47" s="27"/>
      <c r="AM47" s="27"/>
      <c r="AN47" s="27"/>
      <c r="AO47" s="29" t="str">
        <f t="shared" si="92"/>
        <v/>
      </c>
      <c r="AP47" s="27"/>
      <c r="AQ47" s="27"/>
      <c r="AR47" s="27"/>
      <c r="AS47" s="29" t="str">
        <f t="shared" si="93"/>
        <v/>
      </c>
      <c r="AT47" s="27"/>
      <c r="AU47" s="27"/>
      <c r="AV47" s="27"/>
      <c r="AW47" s="29" t="str">
        <f t="shared" si="94"/>
        <v/>
      </c>
      <c r="AX47" s="24"/>
      <c r="AY47" s="27"/>
      <c r="AZ47" s="27"/>
      <c r="BA47" s="29" t="str">
        <f t="shared" si="95"/>
        <v/>
      </c>
      <c r="BB47" s="27"/>
      <c r="BC47" s="27"/>
      <c r="BD47" s="27"/>
      <c r="BE47" s="29" t="str">
        <f t="shared" si="96"/>
        <v/>
      </c>
      <c r="BF47" s="27"/>
      <c r="BG47" s="27"/>
      <c r="BH47" s="27"/>
      <c r="BI47" s="29" t="str">
        <f t="shared" si="97"/>
        <v/>
      </c>
      <c r="BJ47" s="27"/>
      <c r="BK47" s="27"/>
      <c r="BL47" s="27"/>
      <c r="BM47" s="29" t="str">
        <f t="shared" si="98"/>
        <v/>
      </c>
      <c r="BN47" s="22"/>
      <c r="BO47" s="22"/>
      <c r="BP47" s="27"/>
      <c r="BQ47" s="29" t="str">
        <f t="shared" si="99"/>
        <v/>
      </c>
      <c r="BR47" s="27"/>
      <c r="BS47" s="27"/>
      <c r="BT47" s="27"/>
      <c r="BU47" s="29" t="str">
        <f t="shared" si="100"/>
        <v/>
      </c>
      <c r="BV47" s="27"/>
      <c r="BW47" s="27"/>
      <c r="BX47" s="27"/>
      <c r="BY47" s="29" t="str">
        <f t="shared" si="101"/>
        <v/>
      </c>
      <c r="BZ47" s="27"/>
      <c r="CA47" s="27"/>
      <c r="CB47" s="29" t="str">
        <f t="shared" si="102"/>
        <v/>
      </c>
      <c r="CC47" s="27"/>
      <c r="CD47" s="27"/>
      <c r="CE47" s="29" t="str">
        <f t="shared" si="103"/>
        <v/>
      </c>
      <c r="CF47" s="27"/>
      <c r="CG47" s="27"/>
      <c r="CH47" s="27"/>
      <c r="CI47" s="29" t="str">
        <f t="shared" si="104"/>
        <v/>
      </c>
      <c r="CJ47" s="27"/>
      <c r="CK47" s="27"/>
      <c r="CL47" s="27"/>
      <c r="CM47" s="29" t="str">
        <f t="shared" si="105"/>
        <v/>
      </c>
      <c r="CN47" s="27"/>
      <c r="CO47" s="27"/>
      <c r="CP47" s="27"/>
      <c r="CQ47" s="29" t="str">
        <f t="shared" si="106"/>
        <v/>
      </c>
      <c r="CR47" s="27"/>
      <c r="CS47" s="27"/>
      <c r="CT47" s="29" t="str">
        <f t="shared" si="107"/>
        <v/>
      </c>
      <c r="CU47" s="27"/>
      <c r="CV47" s="27"/>
      <c r="CW47" s="27"/>
      <c r="CX47" s="29" t="str">
        <f t="shared" si="108"/>
        <v/>
      </c>
      <c r="CY47" s="27"/>
      <c r="CZ47" s="27"/>
      <c r="DA47" s="27"/>
      <c r="DB47" s="29" t="str">
        <f t="shared" si="109"/>
        <v/>
      </c>
      <c r="DC47" s="27"/>
      <c r="DD47" s="27"/>
      <c r="DE47" s="29" t="str">
        <f t="shared" si="110"/>
        <v/>
      </c>
      <c r="DF47" s="27"/>
      <c r="DG47" s="27"/>
      <c r="DH47" s="27"/>
      <c r="DI47" s="29" t="str">
        <f t="shared" si="111"/>
        <v/>
      </c>
      <c r="DJ47" s="27"/>
      <c r="DK47" s="27"/>
      <c r="DL47" s="27"/>
      <c r="DM47" s="29" t="str">
        <f t="shared" si="112"/>
        <v/>
      </c>
      <c r="DN47" s="27"/>
      <c r="DO47" s="27"/>
      <c r="DP47" s="27"/>
      <c r="DQ47" s="29" t="str">
        <f t="shared" si="113"/>
        <v/>
      </c>
      <c r="DR47" s="27"/>
      <c r="DS47" s="27"/>
      <c r="DT47" s="27"/>
      <c r="DU47" s="29" t="str">
        <f t="shared" si="114"/>
        <v/>
      </c>
      <c r="DV47" s="27"/>
      <c r="DW47" s="27"/>
      <c r="DX47" s="27"/>
      <c r="DY47" s="29" t="str">
        <f t="shared" si="115"/>
        <v/>
      </c>
      <c r="DZ47" s="27"/>
      <c r="EA47" s="27"/>
      <c r="EB47" s="27"/>
      <c r="EC47" s="29" t="str">
        <f t="shared" si="116"/>
        <v/>
      </c>
      <c r="ED47" s="27"/>
      <c r="EE47" s="27"/>
      <c r="EF47" s="27"/>
      <c r="EG47" s="29" t="str">
        <f t="shared" si="117"/>
        <v/>
      </c>
      <c r="EH47" s="27"/>
      <c r="EI47" s="27"/>
      <c r="EJ47" s="27"/>
      <c r="EK47" s="29" t="str">
        <f t="shared" si="118"/>
        <v/>
      </c>
      <c r="EL47" s="27"/>
      <c r="EM47" s="27"/>
      <c r="EN47" s="27"/>
      <c r="EO47" s="29" t="str">
        <f t="shared" si="119"/>
        <v/>
      </c>
      <c r="EP47" s="27"/>
      <c r="EQ47" s="27"/>
      <c r="ER47" s="27"/>
      <c r="ES47" s="29" t="str">
        <f t="shared" si="120"/>
        <v/>
      </c>
      <c r="ET47" s="27"/>
      <c r="EU47" s="27"/>
      <c r="EV47" s="27"/>
      <c r="EW47" s="29" t="str">
        <f t="shared" si="121"/>
        <v/>
      </c>
      <c r="EX47" s="27"/>
      <c r="EY47" s="27"/>
      <c r="EZ47" s="27"/>
      <c r="FA47" s="29" t="str">
        <f t="shared" si="122"/>
        <v/>
      </c>
      <c r="FB47" s="27"/>
      <c r="FC47" s="27"/>
      <c r="FD47" s="27"/>
      <c r="FE47" s="29" t="str">
        <f t="shared" si="123"/>
        <v/>
      </c>
      <c r="FF47" s="27"/>
      <c r="FG47" s="27"/>
      <c r="FH47" s="27"/>
      <c r="FI47" s="29" t="str">
        <f t="shared" si="124"/>
        <v/>
      </c>
      <c r="FJ47" s="27"/>
      <c r="FK47" s="27"/>
      <c r="FL47" s="27"/>
      <c r="FM47" s="29" t="str">
        <f t="shared" si="125"/>
        <v/>
      </c>
      <c r="FN47" s="27"/>
      <c r="FO47" s="27"/>
      <c r="FP47" s="27"/>
      <c r="FQ47" s="29" t="str">
        <f t="shared" si="126"/>
        <v/>
      </c>
      <c r="FR47" s="27"/>
      <c r="FS47" s="27"/>
      <c r="FT47" s="27"/>
    </row>
    <row r="48" spans="1:176" x14ac:dyDescent="0.2">
      <c r="A48" s="30" t="str">
        <f t="shared" si="82"/>
        <v xml:space="preserve"> </v>
      </c>
      <c r="B48" s="26"/>
      <c r="C48" s="26"/>
      <c r="D48" s="23"/>
      <c r="E48" s="27"/>
      <c r="F48" s="22"/>
      <c r="G48" s="22"/>
      <c r="H48" s="29" t="str">
        <f t="shared" si="83"/>
        <v/>
      </c>
      <c r="I48" s="27"/>
      <c r="J48" s="27"/>
      <c r="K48" s="22"/>
      <c r="L48" s="29" t="str">
        <f t="shared" si="84"/>
        <v/>
      </c>
      <c r="M48" s="27"/>
      <c r="N48" s="27"/>
      <c r="O48" s="22"/>
      <c r="P48" s="29" t="str">
        <f t="shared" si="85"/>
        <v/>
      </c>
      <c r="Q48" s="22"/>
      <c r="R48" s="32" t="str">
        <f t="shared" si="86"/>
        <v/>
      </c>
      <c r="S48" s="24"/>
      <c r="T48" s="22"/>
      <c r="U48" s="31" t="str">
        <f t="shared" si="87"/>
        <v/>
      </c>
      <c r="V48" s="27"/>
      <c r="W48" s="27"/>
      <c r="X48" s="27"/>
      <c r="Y48" s="32" t="str">
        <f t="shared" si="88"/>
        <v/>
      </c>
      <c r="Z48" s="27"/>
      <c r="AA48" s="27"/>
      <c r="AB48" s="27"/>
      <c r="AC48" s="29" t="str">
        <f t="shared" si="89"/>
        <v/>
      </c>
      <c r="AD48" s="27"/>
      <c r="AE48" s="27"/>
      <c r="AF48" s="27"/>
      <c r="AG48" s="29" t="str">
        <f t="shared" si="90"/>
        <v/>
      </c>
      <c r="AH48" s="27"/>
      <c r="AI48" s="27"/>
      <c r="AJ48" s="27"/>
      <c r="AK48" s="29" t="str">
        <f t="shared" si="91"/>
        <v/>
      </c>
      <c r="AL48" s="27"/>
      <c r="AM48" s="27"/>
      <c r="AN48" s="27"/>
      <c r="AO48" s="29" t="str">
        <f t="shared" si="92"/>
        <v/>
      </c>
      <c r="AP48" s="27"/>
      <c r="AQ48" s="27"/>
      <c r="AR48" s="27"/>
      <c r="AS48" s="29" t="str">
        <f t="shared" si="93"/>
        <v/>
      </c>
      <c r="AT48" s="27"/>
      <c r="AU48" s="27"/>
      <c r="AV48" s="27"/>
      <c r="AW48" s="29" t="str">
        <f t="shared" si="94"/>
        <v/>
      </c>
      <c r="AX48" s="24"/>
      <c r="AY48" s="27"/>
      <c r="AZ48" s="27"/>
      <c r="BA48" s="29" t="str">
        <f t="shared" si="95"/>
        <v/>
      </c>
      <c r="BB48" s="27"/>
      <c r="BC48" s="27"/>
      <c r="BD48" s="27"/>
      <c r="BE48" s="29" t="str">
        <f t="shared" si="96"/>
        <v/>
      </c>
      <c r="BF48" s="27"/>
      <c r="BG48" s="27"/>
      <c r="BH48" s="27"/>
      <c r="BI48" s="29" t="str">
        <f t="shared" si="97"/>
        <v/>
      </c>
      <c r="BJ48" s="27"/>
      <c r="BK48" s="27"/>
      <c r="BL48" s="27"/>
      <c r="BM48" s="29" t="str">
        <f t="shared" si="98"/>
        <v/>
      </c>
      <c r="BN48" s="22"/>
      <c r="BO48" s="22"/>
      <c r="BP48" s="27"/>
      <c r="BQ48" s="29" t="str">
        <f t="shared" si="99"/>
        <v/>
      </c>
      <c r="BR48" s="27"/>
      <c r="BS48" s="27"/>
      <c r="BT48" s="27"/>
      <c r="BU48" s="29" t="str">
        <f t="shared" si="100"/>
        <v/>
      </c>
      <c r="BV48" s="27"/>
      <c r="BW48" s="27"/>
      <c r="BX48" s="27"/>
      <c r="BY48" s="29" t="str">
        <f t="shared" si="101"/>
        <v/>
      </c>
      <c r="BZ48" s="27"/>
      <c r="CA48" s="27"/>
      <c r="CB48" s="29" t="str">
        <f t="shared" si="102"/>
        <v/>
      </c>
      <c r="CC48" s="27"/>
      <c r="CD48" s="27"/>
      <c r="CE48" s="29" t="str">
        <f t="shared" si="103"/>
        <v/>
      </c>
      <c r="CF48" s="27"/>
      <c r="CG48" s="27"/>
      <c r="CH48" s="27"/>
      <c r="CI48" s="29" t="str">
        <f t="shared" si="104"/>
        <v/>
      </c>
      <c r="CJ48" s="27"/>
      <c r="CK48" s="27"/>
      <c r="CL48" s="27"/>
      <c r="CM48" s="29" t="str">
        <f t="shared" si="105"/>
        <v/>
      </c>
      <c r="CN48" s="27"/>
      <c r="CO48" s="27"/>
      <c r="CP48" s="27"/>
      <c r="CQ48" s="29" t="str">
        <f t="shared" si="106"/>
        <v/>
      </c>
      <c r="CR48" s="27"/>
      <c r="CS48" s="27"/>
      <c r="CT48" s="29" t="str">
        <f t="shared" si="107"/>
        <v/>
      </c>
      <c r="CU48" s="27"/>
      <c r="CV48" s="27"/>
      <c r="CW48" s="27"/>
      <c r="CX48" s="29" t="str">
        <f t="shared" si="108"/>
        <v/>
      </c>
      <c r="CY48" s="27"/>
      <c r="CZ48" s="27"/>
      <c r="DA48" s="27"/>
      <c r="DB48" s="29" t="str">
        <f t="shared" si="109"/>
        <v/>
      </c>
      <c r="DC48" s="27"/>
      <c r="DD48" s="27"/>
      <c r="DE48" s="29" t="str">
        <f t="shared" si="110"/>
        <v/>
      </c>
      <c r="DF48" s="27"/>
      <c r="DG48" s="27"/>
      <c r="DH48" s="27"/>
      <c r="DI48" s="29" t="str">
        <f t="shared" si="111"/>
        <v/>
      </c>
      <c r="DJ48" s="27"/>
      <c r="DK48" s="27"/>
      <c r="DL48" s="27"/>
      <c r="DM48" s="29" t="str">
        <f t="shared" si="112"/>
        <v/>
      </c>
      <c r="DN48" s="27"/>
      <c r="DO48" s="27"/>
      <c r="DP48" s="27"/>
      <c r="DQ48" s="29" t="str">
        <f t="shared" si="113"/>
        <v/>
      </c>
      <c r="DR48" s="27"/>
      <c r="DS48" s="27"/>
      <c r="DT48" s="27"/>
      <c r="DU48" s="29" t="str">
        <f t="shared" si="114"/>
        <v/>
      </c>
      <c r="DV48" s="27"/>
      <c r="DW48" s="27"/>
      <c r="DX48" s="27"/>
      <c r="DY48" s="29" t="str">
        <f t="shared" si="115"/>
        <v/>
      </c>
      <c r="DZ48" s="27"/>
      <c r="EA48" s="27"/>
      <c r="EB48" s="27"/>
      <c r="EC48" s="29" t="str">
        <f t="shared" si="116"/>
        <v/>
      </c>
      <c r="ED48" s="27"/>
      <c r="EE48" s="27"/>
      <c r="EF48" s="27"/>
      <c r="EG48" s="29" t="str">
        <f t="shared" si="117"/>
        <v/>
      </c>
      <c r="EH48" s="27"/>
      <c r="EI48" s="27"/>
      <c r="EJ48" s="27"/>
      <c r="EK48" s="29" t="str">
        <f t="shared" si="118"/>
        <v/>
      </c>
      <c r="EL48" s="27"/>
      <c r="EM48" s="27"/>
      <c r="EN48" s="27"/>
      <c r="EO48" s="29" t="str">
        <f t="shared" si="119"/>
        <v/>
      </c>
      <c r="EP48" s="27"/>
      <c r="EQ48" s="27"/>
      <c r="ER48" s="27"/>
      <c r="ES48" s="29" t="str">
        <f t="shared" si="120"/>
        <v/>
      </c>
      <c r="ET48" s="27"/>
      <c r="EU48" s="27"/>
      <c r="EV48" s="27"/>
      <c r="EW48" s="29" t="str">
        <f t="shared" si="121"/>
        <v/>
      </c>
      <c r="EX48" s="27"/>
      <c r="EY48" s="27"/>
      <c r="EZ48" s="27"/>
      <c r="FA48" s="29" t="str">
        <f t="shared" si="122"/>
        <v/>
      </c>
      <c r="FB48" s="27"/>
      <c r="FC48" s="27"/>
      <c r="FD48" s="27"/>
      <c r="FE48" s="29" t="str">
        <f t="shared" si="123"/>
        <v/>
      </c>
      <c r="FF48" s="27"/>
      <c r="FG48" s="27"/>
      <c r="FH48" s="27"/>
      <c r="FI48" s="29" t="str">
        <f t="shared" si="124"/>
        <v/>
      </c>
      <c r="FJ48" s="27"/>
      <c r="FK48" s="27"/>
      <c r="FL48" s="27"/>
      <c r="FM48" s="29" t="str">
        <f t="shared" si="125"/>
        <v/>
      </c>
      <c r="FN48" s="27"/>
      <c r="FO48" s="27"/>
      <c r="FP48" s="27"/>
      <c r="FQ48" s="29" t="str">
        <f t="shared" si="126"/>
        <v/>
      </c>
      <c r="FR48" s="27"/>
      <c r="FS48" s="27"/>
      <c r="FT48" s="27"/>
    </row>
    <row r="49" spans="1:176" x14ac:dyDescent="0.2">
      <c r="A49" s="30" t="str">
        <f t="shared" si="82"/>
        <v xml:space="preserve"> </v>
      </c>
      <c r="B49" s="26"/>
      <c r="C49" s="26"/>
      <c r="D49" s="23"/>
      <c r="E49" s="27"/>
      <c r="F49" s="22"/>
      <c r="G49" s="22"/>
      <c r="H49" s="29" t="str">
        <f t="shared" si="83"/>
        <v/>
      </c>
      <c r="I49" s="27"/>
      <c r="J49" s="27"/>
      <c r="K49" s="22"/>
      <c r="L49" s="29" t="str">
        <f t="shared" si="84"/>
        <v/>
      </c>
      <c r="M49" s="27"/>
      <c r="N49" s="27"/>
      <c r="O49" s="22"/>
      <c r="P49" s="29" t="str">
        <f t="shared" si="85"/>
        <v/>
      </c>
      <c r="Q49" s="22"/>
      <c r="R49" s="32" t="str">
        <f t="shared" si="86"/>
        <v/>
      </c>
      <c r="S49" s="24"/>
      <c r="T49" s="22"/>
      <c r="U49" s="31" t="str">
        <f t="shared" si="87"/>
        <v/>
      </c>
      <c r="V49" s="27"/>
      <c r="W49" s="27"/>
      <c r="X49" s="27"/>
      <c r="Y49" s="32" t="str">
        <f t="shared" si="88"/>
        <v/>
      </c>
      <c r="Z49" s="27"/>
      <c r="AA49" s="27"/>
      <c r="AB49" s="27"/>
      <c r="AC49" s="29" t="str">
        <f t="shared" si="89"/>
        <v/>
      </c>
      <c r="AD49" s="27"/>
      <c r="AE49" s="27"/>
      <c r="AF49" s="27"/>
      <c r="AG49" s="29" t="str">
        <f t="shared" si="90"/>
        <v/>
      </c>
      <c r="AH49" s="27"/>
      <c r="AI49" s="27"/>
      <c r="AJ49" s="27"/>
      <c r="AK49" s="29" t="str">
        <f t="shared" si="91"/>
        <v/>
      </c>
      <c r="AL49" s="27"/>
      <c r="AM49" s="27"/>
      <c r="AN49" s="27"/>
      <c r="AO49" s="29" t="str">
        <f t="shared" si="92"/>
        <v/>
      </c>
      <c r="AP49" s="27"/>
      <c r="AQ49" s="27"/>
      <c r="AR49" s="27"/>
      <c r="AS49" s="29" t="str">
        <f t="shared" si="93"/>
        <v/>
      </c>
      <c r="AT49" s="27"/>
      <c r="AU49" s="27"/>
      <c r="AV49" s="27"/>
      <c r="AW49" s="29" t="str">
        <f t="shared" si="94"/>
        <v/>
      </c>
      <c r="AX49" s="24"/>
      <c r="AY49" s="27"/>
      <c r="AZ49" s="27"/>
      <c r="BA49" s="29" t="str">
        <f t="shared" si="95"/>
        <v/>
      </c>
      <c r="BB49" s="27"/>
      <c r="BC49" s="27"/>
      <c r="BD49" s="27"/>
      <c r="BE49" s="29" t="str">
        <f t="shared" si="96"/>
        <v/>
      </c>
      <c r="BF49" s="27"/>
      <c r="BG49" s="27"/>
      <c r="BH49" s="27"/>
      <c r="BI49" s="29" t="str">
        <f t="shared" si="97"/>
        <v/>
      </c>
      <c r="BJ49" s="27"/>
      <c r="BK49" s="27"/>
      <c r="BL49" s="27"/>
      <c r="BM49" s="29" t="str">
        <f t="shared" si="98"/>
        <v/>
      </c>
      <c r="BN49" s="22"/>
      <c r="BO49" s="22"/>
      <c r="BP49" s="27"/>
      <c r="BQ49" s="29" t="str">
        <f t="shared" si="99"/>
        <v/>
      </c>
      <c r="BR49" s="27"/>
      <c r="BS49" s="27"/>
      <c r="BT49" s="27"/>
      <c r="BU49" s="29" t="str">
        <f t="shared" si="100"/>
        <v/>
      </c>
      <c r="BV49" s="27"/>
      <c r="BW49" s="27"/>
      <c r="BX49" s="27"/>
      <c r="BY49" s="29" t="str">
        <f t="shared" si="101"/>
        <v/>
      </c>
      <c r="BZ49" s="27"/>
      <c r="CA49" s="27"/>
      <c r="CB49" s="29" t="str">
        <f t="shared" si="102"/>
        <v/>
      </c>
      <c r="CC49" s="27"/>
      <c r="CD49" s="27"/>
      <c r="CE49" s="29" t="str">
        <f t="shared" si="103"/>
        <v/>
      </c>
      <c r="CF49" s="27"/>
      <c r="CG49" s="27"/>
      <c r="CH49" s="27"/>
      <c r="CI49" s="29" t="str">
        <f t="shared" si="104"/>
        <v/>
      </c>
      <c r="CJ49" s="27"/>
      <c r="CK49" s="27"/>
      <c r="CL49" s="27"/>
      <c r="CM49" s="29" t="str">
        <f t="shared" si="105"/>
        <v/>
      </c>
      <c r="CN49" s="27"/>
      <c r="CO49" s="27"/>
      <c r="CP49" s="27"/>
      <c r="CQ49" s="29" t="str">
        <f t="shared" si="106"/>
        <v/>
      </c>
      <c r="CR49" s="27"/>
      <c r="CS49" s="27"/>
      <c r="CT49" s="29" t="str">
        <f t="shared" si="107"/>
        <v/>
      </c>
      <c r="CU49" s="27"/>
      <c r="CV49" s="27"/>
      <c r="CW49" s="27"/>
      <c r="CX49" s="29" t="str">
        <f t="shared" si="108"/>
        <v/>
      </c>
      <c r="CY49" s="27"/>
      <c r="CZ49" s="27"/>
      <c r="DA49" s="27"/>
      <c r="DB49" s="29" t="str">
        <f t="shared" si="109"/>
        <v/>
      </c>
      <c r="DC49" s="27"/>
      <c r="DD49" s="27"/>
      <c r="DE49" s="29" t="str">
        <f t="shared" si="110"/>
        <v/>
      </c>
      <c r="DF49" s="27"/>
      <c r="DG49" s="27"/>
      <c r="DH49" s="27"/>
      <c r="DI49" s="29" t="str">
        <f t="shared" si="111"/>
        <v/>
      </c>
      <c r="DJ49" s="27"/>
      <c r="DK49" s="27"/>
      <c r="DL49" s="27"/>
      <c r="DM49" s="29" t="str">
        <f t="shared" si="112"/>
        <v/>
      </c>
      <c r="DN49" s="27"/>
      <c r="DO49" s="27"/>
      <c r="DP49" s="27"/>
      <c r="DQ49" s="29" t="str">
        <f t="shared" si="113"/>
        <v/>
      </c>
      <c r="DR49" s="27"/>
      <c r="DS49" s="27"/>
      <c r="DT49" s="27"/>
      <c r="DU49" s="29" t="str">
        <f t="shared" si="114"/>
        <v/>
      </c>
      <c r="DV49" s="27"/>
      <c r="DW49" s="27"/>
      <c r="DX49" s="27"/>
      <c r="DY49" s="29" t="str">
        <f t="shared" si="115"/>
        <v/>
      </c>
      <c r="DZ49" s="27"/>
      <c r="EA49" s="27"/>
      <c r="EB49" s="27"/>
      <c r="EC49" s="29" t="str">
        <f t="shared" si="116"/>
        <v/>
      </c>
      <c r="ED49" s="27"/>
      <c r="EE49" s="27"/>
      <c r="EF49" s="27"/>
      <c r="EG49" s="29" t="str">
        <f t="shared" si="117"/>
        <v/>
      </c>
      <c r="EH49" s="27"/>
      <c r="EI49" s="27"/>
      <c r="EJ49" s="27"/>
      <c r="EK49" s="29" t="str">
        <f t="shared" si="118"/>
        <v/>
      </c>
      <c r="EL49" s="27"/>
      <c r="EM49" s="27"/>
      <c r="EN49" s="27"/>
      <c r="EO49" s="29" t="str">
        <f t="shared" si="119"/>
        <v/>
      </c>
      <c r="EP49" s="27"/>
      <c r="EQ49" s="27"/>
      <c r="ER49" s="27"/>
      <c r="ES49" s="29" t="str">
        <f t="shared" si="120"/>
        <v/>
      </c>
      <c r="ET49" s="27"/>
      <c r="EU49" s="27"/>
      <c r="EV49" s="27"/>
      <c r="EW49" s="29" t="str">
        <f t="shared" si="121"/>
        <v/>
      </c>
      <c r="EX49" s="27"/>
      <c r="EY49" s="27"/>
      <c r="EZ49" s="27"/>
      <c r="FA49" s="29" t="str">
        <f t="shared" si="122"/>
        <v/>
      </c>
      <c r="FB49" s="27"/>
      <c r="FC49" s="27"/>
      <c r="FD49" s="27"/>
      <c r="FE49" s="29" t="str">
        <f t="shared" si="123"/>
        <v/>
      </c>
      <c r="FF49" s="27"/>
      <c r="FG49" s="27"/>
      <c r="FH49" s="27"/>
      <c r="FI49" s="29" t="str">
        <f t="shared" si="124"/>
        <v/>
      </c>
      <c r="FJ49" s="27"/>
      <c r="FK49" s="27"/>
      <c r="FL49" s="27"/>
      <c r="FM49" s="29" t="str">
        <f t="shared" si="125"/>
        <v/>
      </c>
      <c r="FN49" s="27"/>
      <c r="FO49" s="27"/>
      <c r="FP49" s="27"/>
      <c r="FQ49" s="29" t="str">
        <f t="shared" si="126"/>
        <v/>
      </c>
      <c r="FR49" s="27"/>
      <c r="FS49" s="27"/>
      <c r="FT49" s="27"/>
    </row>
    <row r="50" spans="1:176" x14ac:dyDescent="0.2">
      <c r="A50" s="30" t="str">
        <f t="shared" si="82"/>
        <v xml:space="preserve"> </v>
      </c>
      <c r="B50" s="26"/>
      <c r="C50" s="26"/>
      <c r="D50" s="23"/>
      <c r="E50" s="27"/>
      <c r="F50" s="22"/>
      <c r="G50" s="22"/>
      <c r="H50" s="29" t="str">
        <f t="shared" si="83"/>
        <v/>
      </c>
      <c r="I50" s="27"/>
      <c r="J50" s="27"/>
      <c r="K50" s="22"/>
      <c r="L50" s="29" t="str">
        <f t="shared" si="84"/>
        <v/>
      </c>
      <c r="M50" s="27"/>
      <c r="N50" s="27"/>
      <c r="O50" s="22"/>
      <c r="P50" s="29" t="str">
        <f t="shared" si="85"/>
        <v/>
      </c>
      <c r="Q50" s="22"/>
      <c r="R50" s="32" t="str">
        <f t="shared" si="86"/>
        <v/>
      </c>
      <c r="S50" s="24"/>
      <c r="T50" s="22"/>
      <c r="U50" s="31" t="str">
        <f t="shared" si="87"/>
        <v/>
      </c>
      <c r="V50" s="27"/>
      <c r="W50" s="27"/>
      <c r="X50" s="27"/>
      <c r="Y50" s="32" t="str">
        <f t="shared" si="88"/>
        <v/>
      </c>
      <c r="Z50" s="27"/>
      <c r="AA50" s="27"/>
      <c r="AB50" s="27"/>
      <c r="AC50" s="29" t="str">
        <f t="shared" si="89"/>
        <v/>
      </c>
      <c r="AD50" s="27"/>
      <c r="AE50" s="27"/>
      <c r="AF50" s="27"/>
      <c r="AG50" s="29" t="str">
        <f t="shared" si="90"/>
        <v/>
      </c>
      <c r="AH50" s="27"/>
      <c r="AI50" s="27"/>
      <c r="AJ50" s="27"/>
      <c r="AK50" s="29" t="str">
        <f t="shared" si="91"/>
        <v/>
      </c>
      <c r="AL50" s="27"/>
      <c r="AM50" s="27"/>
      <c r="AN50" s="27"/>
      <c r="AO50" s="29" t="str">
        <f t="shared" si="92"/>
        <v/>
      </c>
      <c r="AP50" s="27"/>
      <c r="AQ50" s="27"/>
      <c r="AR50" s="27"/>
      <c r="AS50" s="29" t="str">
        <f t="shared" si="93"/>
        <v/>
      </c>
      <c r="AT50" s="27"/>
      <c r="AU50" s="27"/>
      <c r="AV50" s="27"/>
      <c r="AW50" s="29" t="str">
        <f t="shared" si="94"/>
        <v/>
      </c>
      <c r="AX50" s="24"/>
      <c r="AY50" s="27"/>
      <c r="AZ50" s="27"/>
      <c r="BA50" s="29" t="str">
        <f t="shared" si="95"/>
        <v/>
      </c>
      <c r="BB50" s="27"/>
      <c r="BC50" s="27"/>
      <c r="BD50" s="27"/>
      <c r="BE50" s="29" t="str">
        <f t="shared" si="96"/>
        <v/>
      </c>
      <c r="BF50" s="27"/>
      <c r="BG50" s="27"/>
      <c r="BH50" s="27"/>
      <c r="BI50" s="29" t="str">
        <f t="shared" si="97"/>
        <v/>
      </c>
      <c r="BJ50" s="27"/>
      <c r="BK50" s="27"/>
      <c r="BL50" s="27"/>
      <c r="BM50" s="29" t="str">
        <f t="shared" si="98"/>
        <v/>
      </c>
      <c r="BN50" s="22"/>
      <c r="BO50" s="22"/>
      <c r="BP50" s="27"/>
      <c r="BQ50" s="29" t="str">
        <f t="shared" si="99"/>
        <v/>
      </c>
      <c r="BR50" s="27"/>
      <c r="BS50" s="27"/>
      <c r="BT50" s="27"/>
      <c r="BU50" s="29" t="str">
        <f t="shared" si="100"/>
        <v/>
      </c>
      <c r="BV50" s="27"/>
      <c r="BW50" s="27"/>
      <c r="BX50" s="27"/>
      <c r="BY50" s="29" t="str">
        <f t="shared" si="101"/>
        <v/>
      </c>
      <c r="BZ50" s="27"/>
      <c r="CA50" s="27"/>
      <c r="CB50" s="29" t="str">
        <f t="shared" si="102"/>
        <v/>
      </c>
      <c r="CC50" s="27"/>
      <c r="CD50" s="27"/>
      <c r="CE50" s="29" t="str">
        <f t="shared" si="103"/>
        <v/>
      </c>
      <c r="CF50" s="27"/>
      <c r="CG50" s="27"/>
      <c r="CH50" s="27"/>
      <c r="CI50" s="29" t="str">
        <f t="shared" si="104"/>
        <v/>
      </c>
      <c r="CJ50" s="27"/>
      <c r="CK50" s="27"/>
      <c r="CL50" s="27"/>
      <c r="CM50" s="29" t="str">
        <f t="shared" si="105"/>
        <v/>
      </c>
      <c r="CN50" s="27"/>
      <c r="CO50" s="27"/>
      <c r="CP50" s="27"/>
      <c r="CQ50" s="29" t="str">
        <f t="shared" si="106"/>
        <v/>
      </c>
      <c r="CR50" s="27"/>
      <c r="CS50" s="27"/>
      <c r="CT50" s="29" t="str">
        <f t="shared" si="107"/>
        <v/>
      </c>
      <c r="CU50" s="27"/>
      <c r="CV50" s="27"/>
      <c r="CW50" s="27"/>
      <c r="CX50" s="29" t="str">
        <f t="shared" si="108"/>
        <v/>
      </c>
      <c r="CY50" s="27"/>
      <c r="CZ50" s="27"/>
      <c r="DA50" s="27"/>
      <c r="DB50" s="29" t="str">
        <f t="shared" si="109"/>
        <v/>
      </c>
      <c r="DC50" s="27"/>
      <c r="DD50" s="27"/>
      <c r="DE50" s="29" t="str">
        <f t="shared" si="110"/>
        <v/>
      </c>
      <c r="DF50" s="27"/>
      <c r="DG50" s="27"/>
      <c r="DH50" s="27"/>
      <c r="DI50" s="29" t="str">
        <f t="shared" si="111"/>
        <v/>
      </c>
      <c r="DJ50" s="27"/>
      <c r="DK50" s="27"/>
      <c r="DL50" s="27"/>
      <c r="DM50" s="29" t="str">
        <f t="shared" si="112"/>
        <v/>
      </c>
      <c r="DN50" s="27"/>
      <c r="DO50" s="27"/>
      <c r="DP50" s="27"/>
      <c r="DQ50" s="29" t="str">
        <f t="shared" si="113"/>
        <v/>
      </c>
      <c r="DR50" s="27"/>
      <c r="DS50" s="27"/>
      <c r="DT50" s="27"/>
      <c r="DU50" s="29" t="str">
        <f t="shared" si="114"/>
        <v/>
      </c>
      <c r="DV50" s="27"/>
      <c r="DW50" s="27"/>
      <c r="DX50" s="27"/>
      <c r="DY50" s="29" t="str">
        <f t="shared" si="115"/>
        <v/>
      </c>
      <c r="DZ50" s="27"/>
      <c r="EA50" s="27"/>
      <c r="EB50" s="27"/>
      <c r="EC50" s="29" t="str">
        <f t="shared" si="116"/>
        <v/>
      </c>
      <c r="ED50" s="27"/>
      <c r="EE50" s="27"/>
      <c r="EF50" s="27"/>
      <c r="EG50" s="29" t="str">
        <f t="shared" si="117"/>
        <v/>
      </c>
      <c r="EH50" s="27"/>
      <c r="EI50" s="27"/>
      <c r="EJ50" s="27"/>
      <c r="EK50" s="29" t="str">
        <f t="shared" si="118"/>
        <v/>
      </c>
      <c r="EL50" s="27"/>
      <c r="EM50" s="27"/>
      <c r="EN50" s="27"/>
      <c r="EO50" s="29" t="str">
        <f t="shared" si="119"/>
        <v/>
      </c>
      <c r="EP50" s="27"/>
      <c r="EQ50" s="27"/>
      <c r="ER50" s="27"/>
      <c r="ES50" s="29" t="str">
        <f t="shared" si="120"/>
        <v/>
      </c>
      <c r="ET50" s="27"/>
      <c r="EU50" s="27"/>
      <c r="EV50" s="27"/>
      <c r="EW50" s="29" t="str">
        <f t="shared" si="121"/>
        <v/>
      </c>
      <c r="EX50" s="27"/>
      <c r="EY50" s="27"/>
      <c r="EZ50" s="27"/>
      <c r="FA50" s="29" t="str">
        <f t="shared" si="122"/>
        <v/>
      </c>
      <c r="FB50" s="27"/>
      <c r="FC50" s="27"/>
      <c r="FD50" s="27"/>
      <c r="FE50" s="29" t="str">
        <f t="shared" si="123"/>
        <v/>
      </c>
      <c r="FF50" s="27"/>
      <c r="FG50" s="27"/>
      <c r="FH50" s="27"/>
      <c r="FI50" s="29" t="str">
        <f t="shared" si="124"/>
        <v/>
      </c>
      <c r="FJ50" s="27"/>
      <c r="FK50" s="27"/>
      <c r="FL50" s="27"/>
      <c r="FM50" s="29" t="str">
        <f t="shared" si="125"/>
        <v/>
      </c>
      <c r="FN50" s="27"/>
      <c r="FO50" s="27"/>
      <c r="FP50" s="27"/>
      <c r="FQ50" s="29" t="str">
        <f t="shared" si="126"/>
        <v/>
      </c>
      <c r="FR50" s="27"/>
      <c r="FS50" s="27"/>
      <c r="FT50" s="27"/>
    </row>
    <row r="51" spans="1:176" x14ac:dyDescent="0.2">
      <c r="A51" s="30" t="str">
        <f t="shared" si="82"/>
        <v xml:space="preserve"> </v>
      </c>
      <c r="B51" s="26"/>
      <c r="C51" s="26"/>
      <c r="D51" s="23"/>
      <c r="E51" s="27"/>
      <c r="F51" s="22"/>
      <c r="G51" s="22"/>
      <c r="H51" s="29" t="str">
        <f t="shared" si="83"/>
        <v/>
      </c>
      <c r="I51" s="27"/>
      <c r="J51" s="27"/>
      <c r="K51" s="22"/>
      <c r="L51" s="29" t="str">
        <f t="shared" si="84"/>
        <v/>
      </c>
      <c r="M51" s="27"/>
      <c r="N51" s="27"/>
      <c r="O51" s="22"/>
      <c r="P51" s="29" t="str">
        <f t="shared" si="85"/>
        <v/>
      </c>
      <c r="Q51" s="22"/>
      <c r="R51" s="32" t="str">
        <f t="shared" si="86"/>
        <v/>
      </c>
      <c r="S51" s="24"/>
      <c r="T51" s="22"/>
      <c r="U51" s="31" t="str">
        <f t="shared" si="87"/>
        <v/>
      </c>
      <c r="V51" s="27"/>
      <c r="W51" s="27"/>
      <c r="X51" s="27"/>
      <c r="Y51" s="32" t="str">
        <f t="shared" si="88"/>
        <v/>
      </c>
      <c r="Z51" s="27"/>
      <c r="AA51" s="27"/>
      <c r="AB51" s="27"/>
      <c r="AC51" s="29" t="str">
        <f t="shared" si="89"/>
        <v/>
      </c>
      <c r="AD51" s="27"/>
      <c r="AE51" s="27"/>
      <c r="AF51" s="27"/>
      <c r="AG51" s="29" t="str">
        <f t="shared" si="90"/>
        <v/>
      </c>
      <c r="AH51" s="27"/>
      <c r="AI51" s="27"/>
      <c r="AJ51" s="27"/>
      <c r="AK51" s="29" t="str">
        <f t="shared" si="91"/>
        <v/>
      </c>
      <c r="AL51" s="27"/>
      <c r="AM51" s="27"/>
      <c r="AN51" s="27"/>
      <c r="AO51" s="29" t="str">
        <f t="shared" si="92"/>
        <v/>
      </c>
      <c r="AP51" s="27"/>
      <c r="AQ51" s="27"/>
      <c r="AR51" s="27"/>
      <c r="AS51" s="29" t="str">
        <f t="shared" si="93"/>
        <v/>
      </c>
      <c r="AT51" s="27"/>
      <c r="AU51" s="27"/>
      <c r="AV51" s="27"/>
      <c r="AW51" s="29" t="str">
        <f t="shared" si="94"/>
        <v/>
      </c>
      <c r="AX51" s="24"/>
      <c r="AY51" s="27"/>
      <c r="AZ51" s="27"/>
      <c r="BA51" s="29" t="str">
        <f t="shared" si="95"/>
        <v/>
      </c>
      <c r="BB51" s="27"/>
      <c r="BC51" s="27"/>
      <c r="BD51" s="27"/>
      <c r="BE51" s="29" t="str">
        <f t="shared" si="96"/>
        <v/>
      </c>
      <c r="BF51" s="27"/>
      <c r="BG51" s="27"/>
      <c r="BH51" s="27"/>
      <c r="BI51" s="29" t="str">
        <f t="shared" si="97"/>
        <v/>
      </c>
      <c r="BJ51" s="27"/>
      <c r="BK51" s="27"/>
      <c r="BL51" s="27"/>
      <c r="BM51" s="29" t="str">
        <f t="shared" si="98"/>
        <v/>
      </c>
      <c r="BN51" s="22"/>
      <c r="BO51" s="22"/>
      <c r="BP51" s="27"/>
      <c r="BQ51" s="29" t="str">
        <f t="shared" si="99"/>
        <v/>
      </c>
      <c r="BR51" s="27"/>
      <c r="BS51" s="27"/>
      <c r="BT51" s="27"/>
      <c r="BU51" s="29" t="str">
        <f t="shared" si="100"/>
        <v/>
      </c>
      <c r="BV51" s="27"/>
      <c r="BW51" s="27"/>
      <c r="BX51" s="27"/>
      <c r="BY51" s="29" t="str">
        <f t="shared" si="101"/>
        <v/>
      </c>
      <c r="BZ51" s="27"/>
      <c r="CA51" s="27"/>
      <c r="CB51" s="29" t="str">
        <f t="shared" si="102"/>
        <v/>
      </c>
      <c r="CC51" s="27"/>
      <c r="CD51" s="27"/>
      <c r="CE51" s="29" t="str">
        <f t="shared" si="103"/>
        <v/>
      </c>
      <c r="CF51" s="27"/>
      <c r="CG51" s="27"/>
      <c r="CH51" s="27"/>
      <c r="CI51" s="29" t="str">
        <f t="shared" si="104"/>
        <v/>
      </c>
      <c r="CJ51" s="27"/>
      <c r="CK51" s="27"/>
      <c r="CL51" s="27"/>
      <c r="CM51" s="29" t="str">
        <f t="shared" si="105"/>
        <v/>
      </c>
      <c r="CN51" s="27"/>
      <c r="CO51" s="27"/>
      <c r="CP51" s="27"/>
      <c r="CQ51" s="29" t="str">
        <f t="shared" si="106"/>
        <v/>
      </c>
      <c r="CR51" s="27"/>
      <c r="CS51" s="27"/>
      <c r="CT51" s="29" t="str">
        <f t="shared" si="107"/>
        <v/>
      </c>
      <c r="CU51" s="27"/>
      <c r="CV51" s="27"/>
      <c r="CW51" s="27"/>
      <c r="CX51" s="29" t="str">
        <f t="shared" si="108"/>
        <v/>
      </c>
      <c r="CY51" s="27"/>
      <c r="CZ51" s="27"/>
      <c r="DA51" s="27"/>
      <c r="DB51" s="29" t="str">
        <f t="shared" si="109"/>
        <v/>
      </c>
      <c r="DC51" s="27"/>
      <c r="DD51" s="27"/>
      <c r="DE51" s="29" t="str">
        <f t="shared" si="110"/>
        <v/>
      </c>
      <c r="DF51" s="27"/>
      <c r="DG51" s="27"/>
      <c r="DH51" s="27"/>
      <c r="DI51" s="29" t="str">
        <f t="shared" si="111"/>
        <v/>
      </c>
      <c r="DJ51" s="27"/>
      <c r="DK51" s="27"/>
      <c r="DL51" s="27"/>
      <c r="DM51" s="29" t="str">
        <f t="shared" si="112"/>
        <v/>
      </c>
      <c r="DN51" s="27"/>
      <c r="DO51" s="27"/>
      <c r="DP51" s="27"/>
      <c r="DQ51" s="29" t="str">
        <f t="shared" si="113"/>
        <v/>
      </c>
      <c r="DR51" s="27"/>
      <c r="DS51" s="27"/>
      <c r="DT51" s="27"/>
      <c r="DU51" s="29" t="str">
        <f t="shared" si="114"/>
        <v/>
      </c>
      <c r="DV51" s="27"/>
      <c r="DW51" s="27"/>
      <c r="DX51" s="27"/>
      <c r="DY51" s="29" t="str">
        <f t="shared" si="115"/>
        <v/>
      </c>
      <c r="DZ51" s="27"/>
      <c r="EA51" s="27"/>
      <c r="EB51" s="27"/>
      <c r="EC51" s="29" t="str">
        <f t="shared" si="116"/>
        <v/>
      </c>
      <c r="ED51" s="27"/>
      <c r="EE51" s="27"/>
      <c r="EF51" s="27"/>
      <c r="EG51" s="29" t="str">
        <f t="shared" si="117"/>
        <v/>
      </c>
      <c r="EH51" s="27"/>
      <c r="EI51" s="27"/>
      <c r="EJ51" s="27"/>
      <c r="EK51" s="29" t="str">
        <f t="shared" si="118"/>
        <v/>
      </c>
      <c r="EL51" s="27"/>
      <c r="EM51" s="27"/>
      <c r="EN51" s="27"/>
      <c r="EO51" s="29" t="str">
        <f t="shared" si="119"/>
        <v/>
      </c>
      <c r="EP51" s="27"/>
      <c r="EQ51" s="27"/>
      <c r="ER51" s="27"/>
      <c r="ES51" s="29" t="str">
        <f t="shared" si="120"/>
        <v/>
      </c>
      <c r="ET51" s="27"/>
      <c r="EU51" s="27"/>
      <c r="EV51" s="27"/>
      <c r="EW51" s="29" t="str">
        <f t="shared" si="121"/>
        <v/>
      </c>
      <c r="EX51" s="27"/>
      <c r="EY51" s="27"/>
      <c r="EZ51" s="27"/>
      <c r="FA51" s="29" t="str">
        <f t="shared" si="122"/>
        <v/>
      </c>
      <c r="FB51" s="27"/>
      <c r="FC51" s="27"/>
      <c r="FD51" s="27"/>
      <c r="FE51" s="29" t="str">
        <f t="shared" si="123"/>
        <v/>
      </c>
      <c r="FF51" s="27"/>
      <c r="FG51" s="27"/>
      <c r="FH51" s="27"/>
      <c r="FI51" s="29" t="str">
        <f t="shared" si="124"/>
        <v/>
      </c>
      <c r="FJ51" s="27"/>
      <c r="FK51" s="27"/>
      <c r="FL51" s="27"/>
      <c r="FM51" s="29" t="str">
        <f t="shared" si="125"/>
        <v/>
      </c>
      <c r="FN51" s="27"/>
      <c r="FO51" s="27"/>
      <c r="FP51" s="27"/>
      <c r="FQ51" s="29" t="str">
        <f t="shared" si="126"/>
        <v/>
      </c>
      <c r="FR51" s="27"/>
      <c r="FS51" s="27"/>
      <c r="FT51" s="27"/>
    </row>
    <row r="52" spans="1:176" x14ac:dyDescent="0.2">
      <c r="A52" s="30" t="str">
        <f t="shared" si="82"/>
        <v xml:space="preserve"> </v>
      </c>
      <c r="B52" s="26"/>
      <c r="C52" s="26"/>
      <c r="D52" s="23"/>
      <c r="E52" s="27"/>
      <c r="F52" s="22"/>
      <c r="G52" s="22"/>
      <c r="H52" s="29" t="str">
        <f t="shared" si="83"/>
        <v/>
      </c>
      <c r="I52" s="27"/>
      <c r="J52" s="27"/>
      <c r="K52" s="22"/>
      <c r="L52" s="29" t="str">
        <f t="shared" si="84"/>
        <v/>
      </c>
      <c r="M52" s="27"/>
      <c r="N52" s="27"/>
      <c r="O52" s="22"/>
      <c r="P52" s="29" t="str">
        <f t="shared" si="85"/>
        <v/>
      </c>
      <c r="Q52" s="22"/>
      <c r="R52" s="32" t="str">
        <f t="shared" si="86"/>
        <v/>
      </c>
      <c r="S52" s="24"/>
      <c r="T52" s="22"/>
      <c r="U52" s="31" t="str">
        <f t="shared" si="87"/>
        <v/>
      </c>
      <c r="V52" s="27"/>
      <c r="W52" s="27"/>
      <c r="X52" s="27"/>
      <c r="Y52" s="32" t="str">
        <f t="shared" si="88"/>
        <v/>
      </c>
      <c r="Z52" s="27"/>
      <c r="AA52" s="27"/>
      <c r="AB52" s="27"/>
      <c r="AC52" s="29" t="str">
        <f t="shared" si="89"/>
        <v/>
      </c>
      <c r="AD52" s="27"/>
      <c r="AE52" s="27"/>
      <c r="AF52" s="27"/>
      <c r="AG52" s="29" t="str">
        <f t="shared" si="90"/>
        <v/>
      </c>
      <c r="AH52" s="27"/>
      <c r="AI52" s="27"/>
      <c r="AJ52" s="27"/>
      <c r="AK52" s="29" t="str">
        <f t="shared" si="91"/>
        <v/>
      </c>
      <c r="AL52" s="27"/>
      <c r="AM52" s="27"/>
      <c r="AN52" s="27"/>
      <c r="AO52" s="29" t="str">
        <f t="shared" si="92"/>
        <v/>
      </c>
      <c r="AP52" s="27"/>
      <c r="AQ52" s="27"/>
      <c r="AR52" s="27"/>
      <c r="AS52" s="29" t="str">
        <f t="shared" si="93"/>
        <v/>
      </c>
      <c r="AT52" s="27"/>
      <c r="AU52" s="27"/>
      <c r="AV52" s="27"/>
      <c r="AW52" s="29" t="str">
        <f t="shared" si="94"/>
        <v/>
      </c>
      <c r="AX52" s="24"/>
      <c r="AY52" s="27"/>
      <c r="AZ52" s="27"/>
      <c r="BA52" s="29" t="str">
        <f t="shared" si="95"/>
        <v/>
      </c>
      <c r="BB52" s="27"/>
      <c r="BC52" s="27"/>
      <c r="BD52" s="27"/>
      <c r="BE52" s="29" t="str">
        <f t="shared" si="96"/>
        <v/>
      </c>
      <c r="BF52" s="27"/>
      <c r="BG52" s="27"/>
      <c r="BH52" s="27"/>
      <c r="BI52" s="29" t="str">
        <f t="shared" si="97"/>
        <v/>
      </c>
      <c r="BJ52" s="27"/>
      <c r="BK52" s="27"/>
      <c r="BL52" s="27"/>
      <c r="BM52" s="29" t="str">
        <f t="shared" si="98"/>
        <v/>
      </c>
      <c r="BN52" s="22"/>
      <c r="BO52" s="22"/>
      <c r="BP52" s="27"/>
      <c r="BQ52" s="29" t="str">
        <f t="shared" si="99"/>
        <v/>
      </c>
      <c r="BR52" s="27"/>
      <c r="BS52" s="27"/>
      <c r="BT52" s="27"/>
      <c r="BU52" s="29" t="str">
        <f t="shared" si="100"/>
        <v/>
      </c>
      <c r="BV52" s="27"/>
      <c r="BW52" s="27"/>
      <c r="BX52" s="27"/>
      <c r="BY52" s="29" t="str">
        <f t="shared" si="101"/>
        <v/>
      </c>
      <c r="BZ52" s="27"/>
      <c r="CA52" s="27"/>
      <c r="CB52" s="29" t="str">
        <f t="shared" si="102"/>
        <v/>
      </c>
      <c r="CC52" s="27"/>
      <c r="CD52" s="27"/>
      <c r="CE52" s="29" t="str">
        <f t="shared" si="103"/>
        <v/>
      </c>
      <c r="CF52" s="27"/>
      <c r="CG52" s="27"/>
      <c r="CH52" s="27"/>
      <c r="CI52" s="29" t="str">
        <f t="shared" si="104"/>
        <v/>
      </c>
      <c r="CJ52" s="27"/>
      <c r="CK52" s="27"/>
      <c r="CL52" s="27"/>
      <c r="CM52" s="29" t="str">
        <f t="shared" si="105"/>
        <v/>
      </c>
      <c r="CN52" s="27"/>
      <c r="CO52" s="27"/>
      <c r="CP52" s="27"/>
      <c r="CQ52" s="29" t="str">
        <f t="shared" si="106"/>
        <v/>
      </c>
      <c r="CR52" s="27"/>
      <c r="CS52" s="27"/>
      <c r="CT52" s="29" t="str">
        <f t="shared" si="107"/>
        <v/>
      </c>
      <c r="CU52" s="27"/>
      <c r="CV52" s="27"/>
      <c r="CW52" s="27"/>
      <c r="CX52" s="29" t="str">
        <f t="shared" si="108"/>
        <v/>
      </c>
      <c r="CY52" s="27"/>
      <c r="CZ52" s="27"/>
      <c r="DA52" s="27"/>
      <c r="DB52" s="29" t="str">
        <f t="shared" si="109"/>
        <v/>
      </c>
      <c r="DC52" s="27"/>
      <c r="DD52" s="27"/>
      <c r="DE52" s="29" t="str">
        <f t="shared" si="110"/>
        <v/>
      </c>
      <c r="DF52" s="27"/>
      <c r="DG52" s="27"/>
      <c r="DH52" s="27"/>
      <c r="DI52" s="29" t="str">
        <f t="shared" si="111"/>
        <v/>
      </c>
      <c r="DJ52" s="27"/>
      <c r="DK52" s="27"/>
      <c r="DL52" s="27"/>
      <c r="DM52" s="29" t="str">
        <f t="shared" si="112"/>
        <v/>
      </c>
      <c r="DN52" s="27"/>
      <c r="DO52" s="27"/>
      <c r="DP52" s="27"/>
      <c r="DQ52" s="29" t="str">
        <f t="shared" si="113"/>
        <v/>
      </c>
      <c r="DR52" s="27"/>
      <c r="DS52" s="27"/>
      <c r="DT52" s="27"/>
      <c r="DU52" s="29" t="str">
        <f t="shared" si="114"/>
        <v/>
      </c>
      <c r="DV52" s="27"/>
      <c r="DW52" s="27"/>
      <c r="DX52" s="27"/>
      <c r="DY52" s="29" t="str">
        <f t="shared" si="115"/>
        <v/>
      </c>
      <c r="DZ52" s="27"/>
      <c r="EA52" s="27"/>
      <c r="EB52" s="27"/>
      <c r="EC52" s="29" t="str">
        <f t="shared" si="116"/>
        <v/>
      </c>
      <c r="ED52" s="27"/>
      <c r="EE52" s="27"/>
      <c r="EF52" s="27"/>
      <c r="EG52" s="29" t="str">
        <f t="shared" si="117"/>
        <v/>
      </c>
      <c r="EH52" s="27"/>
      <c r="EI52" s="27"/>
      <c r="EJ52" s="27"/>
      <c r="EK52" s="29" t="str">
        <f t="shared" si="118"/>
        <v/>
      </c>
      <c r="EL52" s="27"/>
      <c r="EM52" s="27"/>
      <c r="EN52" s="27"/>
      <c r="EO52" s="29" t="str">
        <f t="shared" si="119"/>
        <v/>
      </c>
      <c r="EP52" s="27"/>
      <c r="EQ52" s="27"/>
      <c r="ER52" s="27"/>
      <c r="ES52" s="29" t="str">
        <f t="shared" si="120"/>
        <v/>
      </c>
      <c r="ET52" s="27"/>
      <c r="EU52" s="27"/>
      <c r="EV52" s="27"/>
      <c r="EW52" s="29" t="str">
        <f t="shared" si="121"/>
        <v/>
      </c>
      <c r="EX52" s="27"/>
      <c r="EY52" s="27"/>
      <c r="EZ52" s="27"/>
      <c r="FA52" s="29" t="str">
        <f t="shared" si="122"/>
        <v/>
      </c>
      <c r="FB52" s="27"/>
      <c r="FC52" s="27"/>
      <c r="FD52" s="27"/>
      <c r="FE52" s="29" t="str">
        <f t="shared" si="123"/>
        <v/>
      </c>
      <c r="FF52" s="27"/>
      <c r="FG52" s="27"/>
      <c r="FH52" s="27"/>
      <c r="FI52" s="29" t="str">
        <f t="shared" si="124"/>
        <v/>
      </c>
      <c r="FJ52" s="27"/>
      <c r="FK52" s="27"/>
      <c r="FL52" s="27"/>
      <c r="FM52" s="29" t="str">
        <f t="shared" si="125"/>
        <v/>
      </c>
      <c r="FN52" s="27"/>
      <c r="FO52" s="27"/>
      <c r="FP52" s="27"/>
      <c r="FQ52" s="29" t="str">
        <f t="shared" si="126"/>
        <v/>
      </c>
      <c r="FR52" s="27"/>
      <c r="FS52" s="27"/>
      <c r="FT52" s="27"/>
    </row>
    <row r="53" spans="1:176" x14ac:dyDescent="0.2">
      <c r="A53" s="30" t="str">
        <f t="shared" si="82"/>
        <v xml:space="preserve"> </v>
      </c>
      <c r="B53" s="26"/>
      <c r="C53" s="26"/>
      <c r="D53" s="23"/>
      <c r="E53" s="27"/>
      <c r="F53" s="22"/>
      <c r="G53" s="22"/>
      <c r="H53" s="29" t="str">
        <f t="shared" si="83"/>
        <v/>
      </c>
      <c r="I53" s="27"/>
      <c r="J53" s="27"/>
      <c r="K53" s="22"/>
      <c r="L53" s="29" t="str">
        <f t="shared" si="84"/>
        <v/>
      </c>
      <c r="M53" s="27"/>
      <c r="N53" s="27"/>
      <c r="O53" s="22"/>
      <c r="P53" s="29" t="str">
        <f t="shared" si="85"/>
        <v/>
      </c>
      <c r="Q53" s="22"/>
      <c r="R53" s="32" t="str">
        <f t="shared" si="86"/>
        <v/>
      </c>
      <c r="S53" s="24"/>
      <c r="T53" s="22"/>
      <c r="U53" s="31" t="str">
        <f t="shared" si="87"/>
        <v/>
      </c>
      <c r="V53" s="27"/>
      <c r="W53" s="27"/>
      <c r="X53" s="27"/>
      <c r="Y53" s="32" t="str">
        <f t="shared" si="88"/>
        <v/>
      </c>
      <c r="Z53" s="27"/>
      <c r="AA53" s="27"/>
      <c r="AB53" s="27"/>
      <c r="AC53" s="29" t="str">
        <f t="shared" si="89"/>
        <v/>
      </c>
      <c r="AD53" s="27"/>
      <c r="AE53" s="27"/>
      <c r="AF53" s="27"/>
      <c r="AG53" s="29" t="str">
        <f t="shared" si="90"/>
        <v/>
      </c>
      <c r="AH53" s="27"/>
      <c r="AI53" s="27"/>
      <c r="AJ53" s="27"/>
      <c r="AK53" s="29" t="str">
        <f t="shared" si="91"/>
        <v/>
      </c>
      <c r="AL53" s="27"/>
      <c r="AM53" s="27"/>
      <c r="AN53" s="27"/>
      <c r="AO53" s="29" t="str">
        <f t="shared" si="92"/>
        <v/>
      </c>
      <c r="AP53" s="27"/>
      <c r="AQ53" s="27"/>
      <c r="AR53" s="27"/>
      <c r="AS53" s="29" t="str">
        <f t="shared" si="93"/>
        <v/>
      </c>
      <c r="AT53" s="27"/>
      <c r="AU53" s="27"/>
      <c r="AV53" s="27"/>
      <c r="AW53" s="29" t="str">
        <f t="shared" si="94"/>
        <v/>
      </c>
      <c r="AX53" s="24"/>
      <c r="AY53" s="27"/>
      <c r="AZ53" s="27"/>
      <c r="BA53" s="29" t="str">
        <f t="shared" si="95"/>
        <v/>
      </c>
      <c r="BB53" s="27"/>
      <c r="BC53" s="27"/>
      <c r="BD53" s="27"/>
      <c r="BE53" s="29" t="str">
        <f t="shared" si="96"/>
        <v/>
      </c>
      <c r="BF53" s="27"/>
      <c r="BG53" s="27"/>
      <c r="BH53" s="27"/>
      <c r="BI53" s="29" t="str">
        <f t="shared" si="97"/>
        <v/>
      </c>
      <c r="BJ53" s="27"/>
      <c r="BK53" s="27"/>
      <c r="BL53" s="27"/>
      <c r="BM53" s="29" t="str">
        <f t="shared" si="98"/>
        <v/>
      </c>
      <c r="BN53" s="22"/>
      <c r="BO53" s="22"/>
      <c r="BP53" s="27"/>
      <c r="BQ53" s="29" t="str">
        <f t="shared" si="99"/>
        <v/>
      </c>
      <c r="BR53" s="27"/>
      <c r="BS53" s="27"/>
      <c r="BT53" s="27"/>
      <c r="BU53" s="29" t="str">
        <f t="shared" si="100"/>
        <v/>
      </c>
      <c r="BV53" s="27"/>
      <c r="BW53" s="27"/>
      <c r="BX53" s="27"/>
      <c r="BY53" s="29" t="str">
        <f t="shared" si="101"/>
        <v/>
      </c>
      <c r="BZ53" s="27"/>
      <c r="CA53" s="27"/>
      <c r="CB53" s="29" t="str">
        <f t="shared" si="102"/>
        <v/>
      </c>
      <c r="CC53" s="27"/>
      <c r="CD53" s="27"/>
      <c r="CE53" s="29" t="str">
        <f t="shared" si="103"/>
        <v/>
      </c>
      <c r="CF53" s="27"/>
      <c r="CG53" s="27"/>
      <c r="CH53" s="27"/>
      <c r="CI53" s="29" t="str">
        <f t="shared" si="104"/>
        <v/>
      </c>
      <c r="CJ53" s="27"/>
      <c r="CK53" s="27"/>
      <c r="CL53" s="27"/>
      <c r="CM53" s="29" t="str">
        <f t="shared" si="105"/>
        <v/>
      </c>
      <c r="CN53" s="27"/>
      <c r="CO53" s="27"/>
      <c r="CP53" s="27"/>
      <c r="CQ53" s="29" t="str">
        <f t="shared" si="106"/>
        <v/>
      </c>
      <c r="CR53" s="27"/>
      <c r="CS53" s="27"/>
      <c r="CT53" s="29" t="str">
        <f t="shared" si="107"/>
        <v/>
      </c>
      <c r="CU53" s="27"/>
      <c r="CV53" s="27"/>
      <c r="CW53" s="27"/>
      <c r="CX53" s="29" t="str">
        <f t="shared" si="108"/>
        <v/>
      </c>
      <c r="CY53" s="27"/>
      <c r="CZ53" s="27"/>
      <c r="DA53" s="27"/>
      <c r="DB53" s="29" t="str">
        <f t="shared" si="109"/>
        <v/>
      </c>
      <c r="DC53" s="27"/>
      <c r="DD53" s="27"/>
      <c r="DE53" s="29" t="str">
        <f t="shared" si="110"/>
        <v/>
      </c>
      <c r="DF53" s="27"/>
      <c r="DG53" s="27"/>
      <c r="DH53" s="27"/>
      <c r="DI53" s="29" t="str">
        <f t="shared" si="111"/>
        <v/>
      </c>
      <c r="DJ53" s="27"/>
      <c r="DK53" s="27"/>
      <c r="DL53" s="27"/>
      <c r="DM53" s="29" t="str">
        <f t="shared" si="112"/>
        <v/>
      </c>
      <c r="DN53" s="27"/>
      <c r="DO53" s="27"/>
      <c r="DP53" s="27"/>
      <c r="DQ53" s="29" t="str">
        <f t="shared" si="113"/>
        <v/>
      </c>
      <c r="DR53" s="27"/>
      <c r="DS53" s="27"/>
      <c r="DT53" s="27"/>
      <c r="DU53" s="29" t="str">
        <f t="shared" si="114"/>
        <v/>
      </c>
      <c r="DV53" s="27"/>
      <c r="DW53" s="27"/>
      <c r="DX53" s="27"/>
      <c r="DY53" s="29" t="str">
        <f t="shared" si="115"/>
        <v/>
      </c>
      <c r="DZ53" s="27"/>
      <c r="EA53" s="27"/>
      <c r="EB53" s="27"/>
      <c r="EC53" s="29" t="str">
        <f t="shared" si="116"/>
        <v/>
      </c>
      <c r="ED53" s="27"/>
      <c r="EE53" s="27"/>
      <c r="EF53" s="27"/>
      <c r="EG53" s="29" t="str">
        <f t="shared" si="117"/>
        <v/>
      </c>
      <c r="EH53" s="27"/>
      <c r="EI53" s="27"/>
      <c r="EJ53" s="27"/>
      <c r="EK53" s="29" t="str">
        <f t="shared" si="118"/>
        <v/>
      </c>
      <c r="EL53" s="27"/>
      <c r="EM53" s="27"/>
      <c r="EN53" s="27"/>
      <c r="EO53" s="29" t="str">
        <f t="shared" si="119"/>
        <v/>
      </c>
      <c r="EP53" s="27"/>
      <c r="EQ53" s="27"/>
      <c r="ER53" s="27"/>
      <c r="ES53" s="29" t="str">
        <f t="shared" si="120"/>
        <v/>
      </c>
      <c r="ET53" s="27"/>
      <c r="EU53" s="27"/>
      <c r="EV53" s="27"/>
      <c r="EW53" s="29" t="str">
        <f t="shared" si="121"/>
        <v/>
      </c>
      <c r="EX53" s="27"/>
      <c r="EY53" s="27"/>
      <c r="EZ53" s="27"/>
      <c r="FA53" s="29" t="str">
        <f t="shared" si="122"/>
        <v/>
      </c>
      <c r="FB53" s="27"/>
      <c r="FC53" s="27"/>
      <c r="FD53" s="27"/>
      <c r="FE53" s="29" t="str">
        <f t="shared" si="123"/>
        <v/>
      </c>
      <c r="FF53" s="27"/>
      <c r="FG53" s="27"/>
      <c r="FH53" s="27"/>
      <c r="FI53" s="29" t="str">
        <f t="shared" si="124"/>
        <v/>
      </c>
      <c r="FJ53" s="27"/>
      <c r="FK53" s="27"/>
      <c r="FL53" s="27"/>
      <c r="FM53" s="29" t="str">
        <f t="shared" si="125"/>
        <v/>
      </c>
      <c r="FN53" s="27"/>
      <c r="FO53" s="27"/>
      <c r="FP53" s="27"/>
      <c r="FQ53" s="29" t="str">
        <f t="shared" si="126"/>
        <v/>
      </c>
      <c r="FR53" s="27"/>
      <c r="FS53" s="27"/>
      <c r="FT53" s="27"/>
    </row>
    <row r="54" spans="1:176" x14ac:dyDescent="0.2">
      <c r="A54" s="30" t="str">
        <f t="shared" si="82"/>
        <v xml:space="preserve"> </v>
      </c>
      <c r="B54" s="26"/>
      <c r="C54" s="26"/>
      <c r="D54" s="23"/>
      <c r="E54" s="27"/>
      <c r="F54" s="22"/>
      <c r="G54" s="22"/>
      <c r="H54" s="29" t="str">
        <f t="shared" si="83"/>
        <v/>
      </c>
      <c r="I54" s="27"/>
      <c r="J54" s="27"/>
      <c r="K54" s="22"/>
      <c r="L54" s="29" t="str">
        <f t="shared" si="84"/>
        <v/>
      </c>
      <c r="M54" s="27"/>
      <c r="N54" s="27"/>
      <c r="O54" s="22"/>
      <c r="P54" s="29" t="str">
        <f t="shared" si="85"/>
        <v/>
      </c>
      <c r="Q54" s="22"/>
      <c r="R54" s="32" t="str">
        <f t="shared" si="86"/>
        <v/>
      </c>
      <c r="S54" s="24"/>
      <c r="T54" s="22"/>
      <c r="U54" s="31" t="str">
        <f t="shared" si="87"/>
        <v/>
      </c>
      <c r="V54" s="27"/>
      <c r="W54" s="27"/>
      <c r="X54" s="27"/>
      <c r="Y54" s="32" t="str">
        <f t="shared" si="88"/>
        <v/>
      </c>
      <c r="Z54" s="27"/>
      <c r="AA54" s="27"/>
      <c r="AB54" s="27"/>
      <c r="AC54" s="29" t="str">
        <f t="shared" si="89"/>
        <v/>
      </c>
      <c r="AD54" s="27"/>
      <c r="AE54" s="27"/>
      <c r="AF54" s="27"/>
      <c r="AG54" s="29" t="str">
        <f t="shared" si="90"/>
        <v/>
      </c>
      <c r="AH54" s="27"/>
      <c r="AI54" s="27"/>
      <c r="AJ54" s="27"/>
      <c r="AK54" s="29" t="str">
        <f t="shared" si="91"/>
        <v/>
      </c>
      <c r="AL54" s="27"/>
      <c r="AM54" s="27"/>
      <c r="AN54" s="27"/>
      <c r="AO54" s="29" t="str">
        <f t="shared" si="92"/>
        <v/>
      </c>
      <c r="AP54" s="27"/>
      <c r="AQ54" s="27"/>
      <c r="AR54" s="27"/>
      <c r="AS54" s="29" t="str">
        <f t="shared" si="93"/>
        <v/>
      </c>
      <c r="AT54" s="27"/>
      <c r="AU54" s="27"/>
      <c r="AV54" s="27"/>
      <c r="AW54" s="29" t="str">
        <f t="shared" si="94"/>
        <v/>
      </c>
      <c r="AX54" s="24"/>
      <c r="AY54" s="27"/>
      <c r="AZ54" s="27"/>
      <c r="BA54" s="29" t="str">
        <f t="shared" si="95"/>
        <v/>
      </c>
      <c r="BB54" s="27"/>
      <c r="BC54" s="27"/>
      <c r="BD54" s="27"/>
      <c r="BE54" s="29" t="str">
        <f t="shared" si="96"/>
        <v/>
      </c>
      <c r="BF54" s="27"/>
      <c r="BG54" s="27"/>
      <c r="BH54" s="27"/>
      <c r="BI54" s="29" t="str">
        <f t="shared" si="97"/>
        <v/>
      </c>
      <c r="BJ54" s="27"/>
      <c r="BK54" s="27"/>
      <c r="BL54" s="27"/>
      <c r="BM54" s="29" t="str">
        <f t="shared" si="98"/>
        <v/>
      </c>
      <c r="BN54" s="22"/>
      <c r="BO54" s="22"/>
      <c r="BP54" s="27"/>
      <c r="BQ54" s="29" t="str">
        <f t="shared" si="99"/>
        <v/>
      </c>
      <c r="BR54" s="27"/>
      <c r="BS54" s="27"/>
      <c r="BT54" s="27"/>
      <c r="BU54" s="29" t="str">
        <f t="shared" si="100"/>
        <v/>
      </c>
      <c r="BV54" s="27"/>
      <c r="BW54" s="27"/>
      <c r="BX54" s="27"/>
      <c r="BY54" s="29" t="str">
        <f t="shared" si="101"/>
        <v/>
      </c>
      <c r="BZ54" s="27"/>
      <c r="CA54" s="27"/>
      <c r="CB54" s="29" t="str">
        <f t="shared" si="102"/>
        <v/>
      </c>
      <c r="CC54" s="27"/>
      <c r="CD54" s="27"/>
      <c r="CE54" s="29" t="str">
        <f t="shared" si="103"/>
        <v/>
      </c>
      <c r="CF54" s="27"/>
      <c r="CG54" s="27"/>
      <c r="CH54" s="27"/>
      <c r="CI54" s="29" t="str">
        <f t="shared" si="104"/>
        <v/>
      </c>
      <c r="CJ54" s="27"/>
      <c r="CK54" s="27"/>
      <c r="CL54" s="27"/>
      <c r="CM54" s="29" t="str">
        <f t="shared" si="105"/>
        <v/>
      </c>
      <c r="CN54" s="27"/>
      <c r="CO54" s="27"/>
      <c r="CP54" s="27"/>
      <c r="CQ54" s="29" t="str">
        <f t="shared" si="106"/>
        <v/>
      </c>
      <c r="CR54" s="27"/>
      <c r="CS54" s="27"/>
      <c r="CT54" s="29" t="str">
        <f t="shared" si="107"/>
        <v/>
      </c>
      <c r="CU54" s="27"/>
      <c r="CV54" s="27"/>
      <c r="CW54" s="27"/>
      <c r="CX54" s="29" t="str">
        <f t="shared" si="108"/>
        <v/>
      </c>
      <c r="CY54" s="27"/>
      <c r="CZ54" s="27"/>
      <c r="DA54" s="27"/>
      <c r="DB54" s="29" t="str">
        <f t="shared" si="109"/>
        <v/>
      </c>
      <c r="DC54" s="27"/>
      <c r="DD54" s="27"/>
      <c r="DE54" s="29" t="str">
        <f t="shared" si="110"/>
        <v/>
      </c>
      <c r="DF54" s="27"/>
      <c r="DG54" s="27"/>
      <c r="DH54" s="27"/>
      <c r="DI54" s="29" t="str">
        <f t="shared" si="111"/>
        <v/>
      </c>
      <c r="DJ54" s="27"/>
      <c r="DK54" s="27"/>
      <c r="DL54" s="27"/>
      <c r="DM54" s="29" t="str">
        <f t="shared" si="112"/>
        <v/>
      </c>
      <c r="DN54" s="27"/>
      <c r="DO54" s="27"/>
      <c r="DP54" s="27"/>
      <c r="DQ54" s="29" t="str">
        <f t="shared" si="113"/>
        <v/>
      </c>
      <c r="DR54" s="27"/>
      <c r="DS54" s="27"/>
      <c r="DT54" s="27"/>
      <c r="DU54" s="29" t="str">
        <f t="shared" si="114"/>
        <v/>
      </c>
      <c r="DV54" s="27"/>
      <c r="DW54" s="27"/>
      <c r="DX54" s="27"/>
      <c r="DY54" s="29" t="str">
        <f t="shared" si="115"/>
        <v/>
      </c>
      <c r="DZ54" s="27"/>
      <c r="EA54" s="27"/>
      <c r="EB54" s="27"/>
      <c r="EC54" s="29" t="str">
        <f t="shared" si="116"/>
        <v/>
      </c>
      <c r="ED54" s="27"/>
      <c r="EE54" s="27"/>
      <c r="EF54" s="27"/>
      <c r="EG54" s="29" t="str">
        <f t="shared" si="117"/>
        <v/>
      </c>
      <c r="EH54" s="27"/>
      <c r="EI54" s="27"/>
      <c r="EJ54" s="27"/>
      <c r="EK54" s="29" t="str">
        <f t="shared" si="118"/>
        <v/>
      </c>
      <c r="EL54" s="27"/>
      <c r="EM54" s="27"/>
      <c r="EN54" s="27"/>
      <c r="EO54" s="29" t="str">
        <f t="shared" si="119"/>
        <v/>
      </c>
      <c r="EP54" s="27"/>
      <c r="EQ54" s="27"/>
      <c r="ER54" s="27"/>
      <c r="ES54" s="29" t="str">
        <f t="shared" si="120"/>
        <v/>
      </c>
      <c r="ET54" s="27"/>
      <c r="EU54" s="27"/>
      <c r="EV54" s="27"/>
      <c r="EW54" s="29" t="str">
        <f t="shared" si="121"/>
        <v/>
      </c>
      <c r="EX54" s="27"/>
      <c r="EY54" s="27"/>
      <c r="EZ54" s="27"/>
      <c r="FA54" s="29" t="str">
        <f t="shared" si="122"/>
        <v/>
      </c>
      <c r="FB54" s="27"/>
      <c r="FC54" s="27"/>
      <c r="FD54" s="27"/>
      <c r="FE54" s="29" t="str">
        <f t="shared" si="123"/>
        <v/>
      </c>
      <c r="FF54" s="27"/>
      <c r="FG54" s="27"/>
      <c r="FH54" s="27"/>
      <c r="FI54" s="29" t="str">
        <f t="shared" si="124"/>
        <v/>
      </c>
      <c r="FJ54" s="27"/>
      <c r="FK54" s="27"/>
      <c r="FL54" s="27"/>
      <c r="FM54" s="29" t="str">
        <f t="shared" si="125"/>
        <v/>
      </c>
      <c r="FN54" s="27"/>
      <c r="FO54" s="27"/>
      <c r="FP54" s="27"/>
      <c r="FQ54" s="29" t="str">
        <f t="shared" si="126"/>
        <v/>
      </c>
      <c r="FR54" s="27"/>
      <c r="FS54" s="27"/>
      <c r="FT54" s="27"/>
    </row>
    <row r="55" spans="1:176" x14ac:dyDescent="0.2">
      <c r="A55" s="30" t="str">
        <f t="shared" si="82"/>
        <v xml:space="preserve"> </v>
      </c>
      <c r="B55" s="26"/>
      <c r="C55" s="26"/>
      <c r="D55" s="23"/>
      <c r="E55" s="27"/>
      <c r="F55" s="22"/>
      <c r="G55" s="22"/>
      <c r="H55" s="29" t="str">
        <f t="shared" si="83"/>
        <v/>
      </c>
      <c r="I55" s="27"/>
      <c r="J55" s="27"/>
      <c r="K55" s="22"/>
      <c r="L55" s="29" t="str">
        <f t="shared" si="84"/>
        <v/>
      </c>
      <c r="M55" s="27"/>
      <c r="N55" s="27"/>
      <c r="O55" s="22"/>
      <c r="P55" s="29" t="str">
        <f t="shared" si="85"/>
        <v/>
      </c>
      <c r="Q55" s="22"/>
      <c r="R55" s="32" t="str">
        <f t="shared" si="86"/>
        <v/>
      </c>
      <c r="S55" s="24"/>
      <c r="T55" s="22"/>
      <c r="U55" s="31" t="str">
        <f t="shared" si="87"/>
        <v/>
      </c>
      <c r="V55" s="27"/>
      <c r="W55" s="27"/>
      <c r="X55" s="27"/>
      <c r="Y55" s="32" t="str">
        <f t="shared" si="88"/>
        <v/>
      </c>
      <c r="Z55" s="27"/>
      <c r="AA55" s="27"/>
      <c r="AB55" s="27"/>
      <c r="AC55" s="29" t="str">
        <f t="shared" si="89"/>
        <v/>
      </c>
      <c r="AD55" s="27"/>
      <c r="AE55" s="27"/>
      <c r="AF55" s="27"/>
      <c r="AG55" s="29" t="str">
        <f t="shared" si="90"/>
        <v/>
      </c>
      <c r="AH55" s="27"/>
      <c r="AI55" s="27"/>
      <c r="AJ55" s="27"/>
      <c r="AK55" s="29" t="str">
        <f t="shared" si="91"/>
        <v/>
      </c>
      <c r="AL55" s="27"/>
      <c r="AM55" s="27"/>
      <c r="AN55" s="27"/>
      <c r="AO55" s="29" t="str">
        <f t="shared" si="92"/>
        <v/>
      </c>
      <c r="AP55" s="27"/>
      <c r="AQ55" s="27"/>
      <c r="AR55" s="27"/>
      <c r="AS55" s="29" t="str">
        <f t="shared" si="93"/>
        <v/>
      </c>
      <c r="AT55" s="27"/>
      <c r="AU55" s="27"/>
      <c r="AV55" s="27"/>
      <c r="AW55" s="29" t="str">
        <f t="shared" si="94"/>
        <v/>
      </c>
      <c r="AX55" s="24"/>
      <c r="AY55" s="27"/>
      <c r="AZ55" s="27"/>
      <c r="BA55" s="29" t="str">
        <f t="shared" si="95"/>
        <v/>
      </c>
      <c r="BB55" s="27"/>
      <c r="BC55" s="27"/>
      <c r="BD55" s="27"/>
      <c r="BE55" s="29" t="str">
        <f t="shared" si="96"/>
        <v/>
      </c>
      <c r="BF55" s="27"/>
      <c r="BG55" s="27"/>
      <c r="BH55" s="27"/>
      <c r="BI55" s="29" t="str">
        <f t="shared" si="97"/>
        <v/>
      </c>
      <c r="BJ55" s="27"/>
      <c r="BK55" s="27"/>
      <c r="BL55" s="27"/>
      <c r="BM55" s="29" t="str">
        <f t="shared" si="98"/>
        <v/>
      </c>
      <c r="BN55" s="22"/>
      <c r="BO55" s="22"/>
      <c r="BP55" s="27"/>
      <c r="BQ55" s="29" t="str">
        <f t="shared" si="99"/>
        <v/>
      </c>
      <c r="BR55" s="27"/>
      <c r="BS55" s="27"/>
      <c r="BT55" s="27"/>
      <c r="BU55" s="29" t="str">
        <f t="shared" si="100"/>
        <v/>
      </c>
      <c r="BV55" s="27"/>
      <c r="BW55" s="27"/>
      <c r="BX55" s="27"/>
      <c r="BY55" s="29" t="str">
        <f t="shared" si="101"/>
        <v/>
      </c>
      <c r="BZ55" s="27"/>
      <c r="CA55" s="27"/>
      <c r="CB55" s="29" t="str">
        <f t="shared" si="102"/>
        <v/>
      </c>
      <c r="CC55" s="27"/>
      <c r="CD55" s="27"/>
      <c r="CE55" s="29" t="str">
        <f t="shared" si="103"/>
        <v/>
      </c>
      <c r="CF55" s="27"/>
      <c r="CG55" s="27"/>
      <c r="CH55" s="27"/>
      <c r="CI55" s="29" t="str">
        <f t="shared" si="104"/>
        <v/>
      </c>
      <c r="CJ55" s="27"/>
      <c r="CK55" s="27"/>
      <c r="CL55" s="27"/>
      <c r="CM55" s="29" t="str">
        <f t="shared" si="105"/>
        <v/>
      </c>
      <c r="CN55" s="27"/>
      <c r="CO55" s="27"/>
      <c r="CP55" s="27"/>
      <c r="CQ55" s="29" t="str">
        <f t="shared" si="106"/>
        <v/>
      </c>
      <c r="CR55" s="27"/>
      <c r="CS55" s="27"/>
      <c r="CT55" s="29" t="str">
        <f t="shared" si="107"/>
        <v/>
      </c>
      <c r="CU55" s="27"/>
      <c r="CV55" s="27"/>
      <c r="CW55" s="27"/>
      <c r="CX55" s="29" t="str">
        <f t="shared" si="108"/>
        <v/>
      </c>
      <c r="CY55" s="27"/>
      <c r="CZ55" s="27"/>
      <c r="DA55" s="27"/>
      <c r="DB55" s="29" t="str">
        <f t="shared" si="109"/>
        <v/>
      </c>
      <c r="DC55" s="27"/>
      <c r="DD55" s="27"/>
      <c r="DE55" s="29" t="str">
        <f t="shared" si="110"/>
        <v/>
      </c>
      <c r="DF55" s="27"/>
      <c r="DG55" s="27"/>
      <c r="DH55" s="27"/>
      <c r="DI55" s="29" t="str">
        <f t="shared" si="111"/>
        <v/>
      </c>
      <c r="DJ55" s="27"/>
      <c r="DK55" s="27"/>
      <c r="DL55" s="27"/>
      <c r="DM55" s="29" t="str">
        <f t="shared" si="112"/>
        <v/>
      </c>
      <c r="DN55" s="27"/>
      <c r="DO55" s="27"/>
      <c r="DP55" s="27"/>
      <c r="DQ55" s="29" t="str">
        <f t="shared" si="113"/>
        <v/>
      </c>
      <c r="DR55" s="27"/>
      <c r="DS55" s="27"/>
      <c r="DT55" s="27"/>
      <c r="DU55" s="29" t="str">
        <f t="shared" si="114"/>
        <v/>
      </c>
      <c r="DV55" s="27"/>
      <c r="DW55" s="27"/>
      <c r="DX55" s="27"/>
      <c r="DY55" s="29" t="str">
        <f t="shared" si="115"/>
        <v/>
      </c>
      <c r="DZ55" s="27"/>
      <c r="EA55" s="27"/>
      <c r="EB55" s="27"/>
      <c r="EC55" s="29" t="str">
        <f t="shared" si="116"/>
        <v/>
      </c>
      <c r="ED55" s="27"/>
      <c r="EE55" s="27"/>
      <c r="EF55" s="27"/>
      <c r="EG55" s="29" t="str">
        <f t="shared" si="117"/>
        <v/>
      </c>
      <c r="EH55" s="27"/>
      <c r="EI55" s="27"/>
      <c r="EJ55" s="27"/>
      <c r="EK55" s="29" t="str">
        <f t="shared" si="118"/>
        <v/>
      </c>
      <c r="EL55" s="27"/>
      <c r="EM55" s="27"/>
      <c r="EN55" s="27"/>
      <c r="EO55" s="29" t="str">
        <f t="shared" si="119"/>
        <v/>
      </c>
      <c r="EP55" s="27"/>
      <c r="EQ55" s="27"/>
      <c r="ER55" s="27"/>
      <c r="ES55" s="29" t="str">
        <f t="shared" si="120"/>
        <v/>
      </c>
      <c r="ET55" s="27"/>
      <c r="EU55" s="27"/>
      <c r="EV55" s="27"/>
      <c r="EW55" s="29" t="str">
        <f t="shared" si="121"/>
        <v/>
      </c>
      <c r="EX55" s="27"/>
      <c r="EY55" s="27"/>
      <c r="EZ55" s="27"/>
      <c r="FA55" s="29" t="str">
        <f t="shared" si="122"/>
        <v/>
      </c>
      <c r="FB55" s="27"/>
      <c r="FC55" s="27"/>
      <c r="FD55" s="27"/>
      <c r="FE55" s="29" t="str">
        <f t="shared" si="123"/>
        <v/>
      </c>
      <c r="FF55" s="27"/>
      <c r="FG55" s="27"/>
      <c r="FH55" s="27"/>
      <c r="FI55" s="29" t="str">
        <f t="shared" si="124"/>
        <v/>
      </c>
      <c r="FJ55" s="27"/>
      <c r="FK55" s="27"/>
      <c r="FL55" s="27"/>
      <c r="FM55" s="29" t="str">
        <f t="shared" si="125"/>
        <v/>
      </c>
      <c r="FN55" s="27"/>
      <c r="FO55" s="27"/>
      <c r="FP55" s="27"/>
      <c r="FQ55" s="29" t="str">
        <f t="shared" si="126"/>
        <v/>
      </c>
      <c r="FR55" s="27"/>
      <c r="FS55" s="27"/>
      <c r="FT55" s="27"/>
    </row>
    <row r="56" spans="1:176" x14ac:dyDescent="0.2">
      <c r="A56" s="30" t="str">
        <f t="shared" si="82"/>
        <v xml:space="preserve"> </v>
      </c>
      <c r="B56" s="26"/>
      <c r="C56" s="26"/>
      <c r="D56" s="23"/>
      <c r="E56" s="27"/>
      <c r="F56" s="22"/>
      <c r="G56" s="22"/>
      <c r="H56" s="29" t="str">
        <f t="shared" si="83"/>
        <v/>
      </c>
      <c r="I56" s="27"/>
      <c r="J56" s="27"/>
      <c r="K56" s="22"/>
      <c r="L56" s="29" t="str">
        <f t="shared" si="84"/>
        <v/>
      </c>
      <c r="M56" s="27"/>
      <c r="N56" s="27"/>
      <c r="O56" s="22"/>
      <c r="P56" s="29" t="str">
        <f t="shared" si="85"/>
        <v/>
      </c>
      <c r="Q56" s="22"/>
      <c r="R56" s="32" t="str">
        <f t="shared" si="86"/>
        <v/>
      </c>
      <c r="S56" s="24"/>
      <c r="T56" s="22"/>
      <c r="U56" s="31" t="str">
        <f t="shared" si="87"/>
        <v/>
      </c>
      <c r="V56" s="27"/>
      <c r="W56" s="27"/>
      <c r="X56" s="27"/>
      <c r="Y56" s="32" t="str">
        <f t="shared" si="88"/>
        <v/>
      </c>
      <c r="Z56" s="27"/>
      <c r="AA56" s="27"/>
      <c r="AB56" s="27"/>
      <c r="AC56" s="29" t="str">
        <f t="shared" si="89"/>
        <v/>
      </c>
      <c r="AD56" s="27"/>
      <c r="AE56" s="27"/>
      <c r="AF56" s="27"/>
      <c r="AG56" s="29" t="str">
        <f t="shared" si="90"/>
        <v/>
      </c>
      <c r="AH56" s="27"/>
      <c r="AI56" s="27"/>
      <c r="AJ56" s="27"/>
      <c r="AK56" s="29" t="str">
        <f t="shared" si="91"/>
        <v/>
      </c>
      <c r="AL56" s="27"/>
      <c r="AM56" s="27"/>
      <c r="AN56" s="27"/>
      <c r="AO56" s="29" t="str">
        <f t="shared" si="92"/>
        <v/>
      </c>
      <c r="AP56" s="27"/>
      <c r="AQ56" s="27"/>
      <c r="AR56" s="27"/>
      <c r="AS56" s="29" t="str">
        <f t="shared" si="93"/>
        <v/>
      </c>
      <c r="AT56" s="27"/>
      <c r="AU56" s="27"/>
      <c r="AV56" s="27"/>
      <c r="AW56" s="29" t="str">
        <f t="shared" si="94"/>
        <v/>
      </c>
      <c r="AX56" s="24"/>
      <c r="AY56" s="27"/>
      <c r="AZ56" s="27"/>
      <c r="BA56" s="29" t="str">
        <f t="shared" si="95"/>
        <v/>
      </c>
      <c r="BB56" s="27"/>
      <c r="BC56" s="27"/>
      <c r="BD56" s="27"/>
      <c r="BE56" s="29" t="str">
        <f t="shared" si="96"/>
        <v/>
      </c>
      <c r="BF56" s="27"/>
      <c r="BG56" s="27"/>
      <c r="BH56" s="27"/>
      <c r="BI56" s="29" t="str">
        <f t="shared" si="97"/>
        <v/>
      </c>
      <c r="BJ56" s="27"/>
      <c r="BK56" s="27"/>
      <c r="BL56" s="27"/>
      <c r="BM56" s="29" t="str">
        <f t="shared" si="98"/>
        <v/>
      </c>
      <c r="BN56" s="22"/>
      <c r="BO56" s="22"/>
      <c r="BP56" s="27"/>
      <c r="BQ56" s="29" t="str">
        <f t="shared" si="99"/>
        <v/>
      </c>
      <c r="BR56" s="27"/>
      <c r="BS56" s="27"/>
      <c r="BT56" s="27"/>
      <c r="BU56" s="29" t="str">
        <f t="shared" si="100"/>
        <v/>
      </c>
      <c r="BV56" s="27"/>
      <c r="BW56" s="27"/>
      <c r="BX56" s="27"/>
      <c r="BY56" s="29" t="str">
        <f t="shared" si="101"/>
        <v/>
      </c>
      <c r="BZ56" s="27"/>
      <c r="CA56" s="27"/>
      <c r="CB56" s="29" t="str">
        <f t="shared" si="102"/>
        <v/>
      </c>
      <c r="CC56" s="27"/>
      <c r="CD56" s="27"/>
      <c r="CE56" s="29" t="str">
        <f t="shared" si="103"/>
        <v/>
      </c>
      <c r="CF56" s="27"/>
      <c r="CG56" s="27"/>
      <c r="CH56" s="27"/>
      <c r="CI56" s="29" t="str">
        <f t="shared" si="104"/>
        <v/>
      </c>
      <c r="CJ56" s="27"/>
      <c r="CK56" s="27"/>
      <c r="CL56" s="27"/>
      <c r="CM56" s="29" t="str">
        <f t="shared" si="105"/>
        <v/>
      </c>
      <c r="CN56" s="27"/>
      <c r="CO56" s="27"/>
      <c r="CP56" s="27"/>
      <c r="CQ56" s="29" t="str">
        <f t="shared" si="106"/>
        <v/>
      </c>
      <c r="CR56" s="27"/>
      <c r="CS56" s="27"/>
      <c r="CT56" s="29" t="str">
        <f t="shared" si="107"/>
        <v/>
      </c>
      <c r="CU56" s="27"/>
      <c r="CV56" s="27"/>
      <c r="CW56" s="27"/>
      <c r="CX56" s="29" t="str">
        <f t="shared" si="108"/>
        <v/>
      </c>
      <c r="CY56" s="27"/>
      <c r="CZ56" s="27"/>
      <c r="DA56" s="27"/>
      <c r="DB56" s="29" t="str">
        <f t="shared" si="109"/>
        <v/>
      </c>
      <c r="DC56" s="27"/>
      <c r="DD56" s="27"/>
      <c r="DE56" s="29" t="str">
        <f t="shared" si="110"/>
        <v/>
      </c>
      <c r="DF56" s="27"/>
      <c r="DG56" s="27"/>
      <c r="DH56" s="27"/>
      <c r="DI56" s="29" t="str">
        <f t="shared" si="111"/>
        <v/>
      </c>
      <c r="DJ56" s="27"/>
      <c r="DK56" s="27"/>
      <c r="DL56" s="27"/>
      <c r="DM56" s="29" t="str">
        <f t="shared" si="112"/>
        <v/>
      </c>
      <c r="DN56" s="27"/>
      <c r="DO56" s="27"/>
      <c r="DP56" s="27"/>
      <c r="DQ56" s="29" t="str">
        <f t="shared" si="113"/>
        <v/>
      </c>
      <c r="DR56" s="27"/>
      <c r="DS56" s="27"/>
      <c r="DT56" s="27"/>
      <c r="DU56" s="29" t="str">
        <f t="shared" si="114"/>
        <v/>
      </c>
      <c r="DV56" s="27"/>
      <c r="DW56" s="27"/>
      <c r="DX56" s="27"/>
      <c r="DY56" s="29" t="str">
        <f t="shared" si="115"/>
        <v/>
      </c>
      <c r="DZ56" s="27"/>
      <c r="EA56" s="27"/>
      <c r="EB56" s="27"/>
      <c r="EC56" s="29" t="str">
        <f t="shared" si="116"/>
        <v/>
      </c>
      <c r="ED56" s="27"/>
      <c r="EE56" s="27"/>
      <c r="EF56" s="27"/>
      <c r="EG56" s="29" t="str">
        <f t="shared" si="117"/>
        <v/>
      </c>
      <c r="EH56" s="27"/>
      <c r="EI56" s="27"/>
      <c r="EJ56" s="27"/>
      <c r="EK56" s="29" t="str">
        <f t="shared" si="118"/>
        <v/>
      </c>
      <c r="EL56" s="27"/>
      <c r="EM56" s="27"/>
      <c r="EN56" s="27"/>
      <c r="EO56" s="29" t="str">
        <f t="shared" si="119"/>
        <v/>
      </c>
      <c r="EP56" s="27"/>
      <c r="EQ56" s="27"/>
      <c r="ER56" s="27"/>
      <c r="ES56" s="29" t="str">
        <f t="shared" si="120"/>
        <v/>
      </c>
      <c r="ET56" s="27"/>
      <c r="EU56" s="27"/>
      <c r="EV56" s="27"/>
      <c r="EW56" s="29" t="str">
        <f t="shared" si="121"/>
        <v/>
      </c>
      <c r="EX56" s="27"/>
      <c r="EY56" s="27"/>
      <c r="EZ56" s="27"/>
      <c r="FA56" s="29" t="str">
        <f t="shared" si="122"/>
        <v/>
      </c>
      <c r="FB56" s="27"/>
      <c r="FC56" s="27"/>
      <c r="FD56" s="27"/>
      <c r="FE56" s="29" t="str">
        <f t="shared" si="123"/>
        <v/>
      </c>
      <c r="FF56" s="27"/>
      <c r="FG56" s="27"/>
      <c r="FH56" s="27"/>
      <c r="FI56" s="29" t="str">
        <f t="shared" si="124"/>
        <v/>
      </c>
      <c r="FJ56" s="27"/>
      <c r="FK56" s="27"/>
      <c r="FL56" s="27"/>
      <c r="FM56" s="29" t="str">
        <f t="shared" si="125"/>
        <v/>
      </c>
      <c r="FN56" s="27"/>
      <c r="FO56" s="27"/>
      <c r="FP56" s="27"/>
      <c r="FQ56" s="29" t="str">
        <f t="shared" si="126"/>
        <v/>
      </c>
      <c r="FR56" s="27"/>
      <c r="FS56" s="27"/>
      <c r="FT56" s="27"/>
    </row>
    <row r="57" spans="1:176" x14ac:dyDescent="0.2">
      <c r="A57" s="30" t="str">
        <f t="shared" si="82"/>
        <v xml:space="preserve"> </v>
      </c>
      <c r="B57" s="26"/>
      <c r="C57" s="26"/>
      <c r="D57" s="23"/>
      <c r="E57" s="27"/>
      <c r="F57" s="22"/>
      <c r="G57" s="22"/>
      <c r="H57" s="29" t="str">
        <f t="shared" si="83"/>
        <v/>
      </c>
      <c r="I57" s="27"/>
      <c r="J57" s="27"/>
      <c r="K57" s="22"/>
      <c r="L57" s="29" t="str">
        <f t="shared" si="84"/>
        <v/>
      </c>
      <c r="M57" s="27"/>
      <c r="N57" s="27"/>
      <c r="O57" s="22"/>
      <c r="P57" s="29" t="str">
        <f t="shared" si="85"/>
        <v/>
      </c>
      <c r="Q57" s="22"/>
      <c r="R57" s="32" t="str">
        <f t="shared" si="86"/>
        <v/>
      </c>
      <c r="S57" s="24"/>
      <c r="T57" s="22"/>
      <c r="U57" s="31" t="str">
        <f t="shared" si="87"/>
        <v/>
      </c>
      <c r="V57" s="27"/>
      <c r="W57" s="27"/>
      <c r="X57" s="27"/>
      <c r="Y57" s="32" t="str">
        <f t="shared" si="88"/>
        <v/>
      </c>
      <c r="Z57" s="27"/>
      <c r="AA57" s="27"/>
      <c r="AB57" s="27"/>
      <c r="AC57" s="29" t="str">
        <f t="shared" si="89"/>
        <v/>
      </c>
      <c r="AD57" s="27"/>
      <c r="AE57" s="27"/>
      <c r="AF57" s="27"/>
      <c r="AG57" s="29" t="str">
        <f t="shared" si="90"/>
        <v/>
      </c>
      <c r="AH57" s="27"/>
      <c r="AI57" s="27"/>
      <c r="AJ57" s="27"/>
      <c r="AK57" s="29" t="str">
        <f t="shared" si="91"/>
        <v/>
      </c>
      <c r="AL57" s="27"/>
      <c r="AM57" s="27"/>
      <c r="AN57" s="27"/>
      <c r="AO57" s="29" t="str">
        <f t="shared" si="92"/>
        <v/>
      </c>
      <c r="AP57" s="27"/>
      <c r="AQ57" s="27"/>
      <c r="AR57" s="27"/>
      <c r="AS57" s="29" t="str">
        <f t="shared" si="93"/>
        <v/>
      </c>
      <c r="AT57" s="27"/>
      <c r="AU57" s="27"/>
      <c r="AV57" s="27"/>
      <c r="AW57" s="29" t="str">
        <f t="shared" si="94"/>
        <v/>
      </c>
      <c r="AX57" s="24"/>
      <c r="AY57" s="27"/>
      <c r="AZ57" s="27"/>
      <c r="BA57" s="29" t="str">
        <f t="shared" si="95"/>
        <v/>
      </c>
      <c r="BB57" s="27"/>
      <c r="BC57" s="27"/>
      <c r="BD57" s="27"/>
      <c r="BE57" s="29" t="str">
        <f t="shared" si="96"/>
        <v/>
      </c>
      <c r="BF57" s="27"/>
      <c r="BG57" s="27"/>
      <c r="BH57" s="27"/>
      <c r="BI57" s="29" t="str">
        <f t="shared" si="97"/>
        <v/>
      </c>
      <c r="BJ57" s="27"/>
      <c r="BK57" s="27"/>
      <c r="BL57" s="27"/>
      <c r="BM57" s="29" t="str">
        <f t="shared" si="98"/>
        <v/>
      </c>
      <c r="BN57" s="22"/>
      <c r="BO57" s="22"/>
      <c r="BP57" s="27"/>
      <c r="BQ57" s="29" t="str">
        <f t="shared" si="99"/>
        <v/>
      </c>
      <c r="BR57" s="27"/>
      <c r="BS57" s="27"/>
      <c r="BT57" s="27"/>
      <c r="BU57" s="29" t="str">
        <f t="shared" si="100"/>
        <v/>
      </c>
      <c r="BV57" s="27"/>
      <c r="BW57" s="27"/>
      <c r="BX57" s="27"/>
      <c r="BY57" s="29" t="str">
        <f t="shared" si="101"/>
        <v/>
      </c>
      <c r="BZ57" s="27"/>
      <c r="CA57" s="27"/>
      <c r="CB57" s="29" t="str">
        <f t="shared" si="102"/>
        <v/>
      </c>
      <c r="CC57" s="27"/>
      <c r="CD57" s="27"/>
      <c r="CE57" s="29" t="str">
        <f t="shared" si="103"/>
        <v/>
      </c>
      <c r="CF57" s="27"/>
      <c r="CG57" s="27"/>
      <c r="CH57" s="27"/>
      <c r="CI57" s="29" t="str">
        <f t="shared" si="104"/>
        <v/>
      </c>
      <c r="CJ57" s="27"/>
      <c r="CK57" s="27"/>
      <c r="CL57" s="27"/>
      <c r="CM57" s="29" t="str">
        <f t="shared" si="105"/>
        <v/>
      </c>
      <c r="CN57" s="27"/>
      <c r="CO57" s="27"/>
      <c r="CP57" s="27"/>
      <c r="CQ57" s="29" t="str">
        <f t="shared" si="106"/>
        <v/>
      </c>
      <c r="CR57" s="27"/>
      <c r="CS57" s="27"/>
      <c r="CT57" s="29" t="str">
        <f t="shared" si="107"/>
        <v/>
      </c>
      <c r="CU57" s="27"/>
      <c r="CV57" s="27"/>
      <c r="CW57" s="27"/>
      <c r="CX57" s="29" t="str">
        <f t="shared" si="108"/>
        <v/>
      </c>
      <c r="CY57" s="27"/>
      <c r="CZ57" s="27"/>
      <c r="DA57" s="27"/>
      <c r="DB57" s="29" t="str">
        <f t="shared" si="109"/>
        <v/>
      </c>
      <c r="DC57" s="27"/>
      <c r="DD57" s="27"/>
      <c r="DE57" s="29" t="str">
        <f t="shared" si="110"/>
        <v/>
      </c>
      <c r="DF57" s="27"/>
      <c r="DG57" s="27"/>
      <c r="DH57" s="27"/>
      <c r="DI57" s="29" t="str">
        <f t="shared" si="111"/>
        <v/>
      </c>
      <c r="DJ57" s="27"/>
      <c r="DK57" s="27"/>
      <c r="DL57" s="27"/>
      <c r="DM57" s="29" t="str">
        <f t="shared" si="112"/>
        <v/>
      </c>
      <c r="DN57" s="27"/>
      <c r="DO57" s="27"/>
      <c r="DP57" s="27"/>
      <c r="DQ57" s="29" t="str">
        <f t="shared" si="113"/>
        <v/>
      </c>
      <c r="DR57" s="27"/>
      <c r="DS57" s="27"/>
      <c r="DT57" s="27"/>
      <c r="DU57" s="29" t="str">
        <f t="shared" si="114"/>
        <v/>
      </c>
      <c r="DV57" s="27"/>
      <c r="DW57" s="27"/>
      <c r="DX57" s="27"/>
      <c r="DY57" s="29" t="str">
        <f t="shared" si="115"/>
        <v/>
      </c>
      <c r="DZ57" s="27"/>
      <c r="EA57" s="27"/>
      <c r="EB57" s="27"/>
      <c r="EC57" s="29" t="str">
        <f t="shared" si="116"/>
        <v/>
      </c>
      <c r="ED57" s="27"/>
      <c r="EE57" s="27"/>
      <c r="EF57" s="27"/>
      <c r="EG57" s="29" t="str">
        <f t="shared" si="117"/>
        <v/>
      </c>
      <c r="EH57" s="27"/>
      <c r="EI57" s="27"/>
      <c r="EJ57" s="27"/>
      <c r="EK57" s="29" t="str">
        <f t="shared" si="118"/>
        <v/>
      </c>
      <c r="EL57" s="27"/>
      <c r="EM57" s="27"/>
      <c r="EN57" s="27"/>
      <c r="EO57" s="29" t="str">
        <f t="shared" si="119"/>
        <v/>
      </c>
      <c r="EP57" s="27"/>
      <c r="EQ57" s="27"/>
      <c r="ER57" s="27"/>
      <c r="ES57" s="29" t="str">
        <f t="shared" si="120"/>
        <v/>
      </c>
      <c r="ET57" s="27"/>
      <c r="EU57" s="27"/>
      <c r="EV57" s="27"/>
      <c r="EW57" s="29" t="str">
        <f t="shared" si="121"/>
        <v/>
      </c>
      <c r="EX57" s="27"/>
      <c r="EY57" s="27"/>
      <c r="EZ57" s="27"/>
      <c r="FA57" s="29" t="str">
        <f t="shared" si="122"/>
        <v/>
      </c>
      <c r="FB57" s="27"/>
      <c r="FC57" s="27"/>
      <c r="FD57" s="27"/>
      <c r="FE57" s="29" t="str">
        <f t="shared" si="123"/>
        <v/>
      </c>
      <c r="FF57" s="27"/>
      <c r="FG57" s="27"/>
      <c r="FH57" s="27"/>
      <c r="FI57" s="29" t="str">
        <f t="shared" si="124"/>
        <v/>
      </c>
      <c r="FJ57" s="27"/>
      <c r="FK57" s="27"/>
      <c r="FL57" s="27"/>
      <c r="FM57" s="29" t="str">
        <f t="shared" si="125"/>
        <v/>
      </c>
      <c r="FN57" s="27"/>
      <c r="FO57" s="27"/>
      <c r="FP57" s="27"/>
      <c r="FQ57" s="29" t="str">
        <f t="shared" si="126"/>
        <v/>
      </c>
      <c r="FR57" s="27"/>
      <c r="FS57" s="27"/>
      <c r="FT57" s="27"/>
    </row>
    <row r="58" spans="1:176" x14ac:dyDescent="0.2">
      <c r="A58" s="30" t="str">
        <f t="shared" si="82"/>
        <v xml:space="preserve"> </v>
      </c>
      <c r="B58" s="26"/>
      <c r="C58" s="26"/>
      <c r="D58" s="23"/>
      <c r="E58" s="27"/>
      <c r="F58" s="22"/>
      <c r="G58" s="22"/>
      <c r="H58" s="29" t="str">
        <f t="shared" si="83"/>
        <v/>
      </c>
      <c r="I58" s="27"/>
      <c r="J58" s="27"/>
      <c r="K58" s="22"/>
      <c r="L58" s="29" t="str">
        <f t="shared" si="84"/>
        <v/>
      </c>
      <c r="M58" s="27"/>
      <c r="N58" s="27"/>
      <c r="O58" s="22"/>
      <c r="P58" s="29" t="str">
        <f t="shared" si="85"/>
        <v/>
      </c>
      <c r="Q58" s="22"/>
      <c r="R58" s="32" t="str">
        <f t="shared" si="86"/>
        <v/>
      </c>
      <c r="S58" s="24"/>
      <c r="T58" s="22"/>
      <c r="U58" s="31" t="str">
        <f t="shared" si="87"/>
        <v/>
      </c>
      <c r="V58" s="27"/>
      <c r="W58" s="27"/>
      <c r="X58" s="27"/>
      <c r="Y58" s="32" t="str">
        <f t="shared" si="88"/>
        <v/>
      </c>
      <c r="Z58" s="27"/>
      <c r="AA58" s="27"/>
      <c r="AB58" s="27"/>
      <c r="AC58" s="29" t="str">
        <f t="shared" si="89"/>
        <v/>
      </c>
      <c r="AD58" s="27"/>
      <c r="AE58" s="27"/>
      <c r="AF58" s="27"/>
      <c r="AG58" s="29" t="str">
        <f t="shared" si="90"/>
        <v/>
      </c>
      <c r="AH58" s="27"/>
      <c r="AI58" s="27"/>
      <c r="AJ58" s="27"/>
      <c r="AK58" s="29" t="str">
        <f t="shared" si="91"/>
        <v/>
      </c>
      <c r="AL58" s="27"/>
      <c r="AM58" s="27"/>
      <c r="AN58" s="27"/>
      <c r="AO58" s="29" t="str">
        <f t="shared" si="92"/>
        <v/>
      </c>
      <c r="AP58" s="27"/>
      <c r="AQ58" s="27"/>
      <c r="AR58" s="27"/>
      <c r="AS58" s="29" t="str">
        <f t="shared" si="93"/>
        <v/>
      </c>
      <c r="AT58" s="27"/>
      <c r="AU58" s="27"/>
      <c r="AV58" s="27"/>
      <c r="AW58" s="29" t="str">
        <f t="shared" si="94"/>
        <v/>
      </c>
      <c r="AX58" s="24"/>
      <c r="AY58" s="27"/>
      <c r="AZ58" s="27"/>
      <c r="BA58" s="29" t="str">
        <f t="shared" si="95"/>
        <v/>
      </c>
      <c r="BB58" s="27"/>
      <c r="BC58" s="27"/>
      <c r="BD58" s="27"/>
      <c r="BE58" s="29" t="str">
        <f t="shared" si="96"/>
        <v/>
      </c>
      <c r="BF58" s="27"/>
      <c r="BG58" s="27"/>
      <c r="BH58" s="27"/>
      <c r="BI58" s="29" t="str">
        <f t="shared" si="97"/>
        <v/>
      </c>
      <c r="BJ58" s="27"/>
      <c r="BK58" s="27"/>
      <c r="BL58" s="27"/>
      <c r="BM58" s="29" t="str">
        <f t="shared" si="98"/>
        <v/>
      </c>
      <c r="BN58" s="22"/>
      <c r="BO58" s="22"/>
      <c r="BP58" s="27"/>
      <c r="BQ58" s="29" t="str">
        <f t="shared" si="99"/>
        <v/>
      </c>
      <c r="BR58" s="27"/>
      <c r="BS58" s="27"/>
      <c r="BT58" s="27"/>
      <c r="BU58" s="29" t="str">
        <f t="shared" si="100"/>
        <v/>
      </c>
      <c r="BV58" s="27"/>
      <c r="BW58" s="27"/>
      <c r="BX58" s="27"/>
      <c r="BY58" s="29" t="str">
        <f t="shared" si="101"/>
        <v/>
      </c>
      <c r="BZ58" s="27"/>
      <c r="CA58" s="27"/>
      <c r="CB58" s="29" t="str">
        <f t="shared" si="102"/>
        <v/>
      </c>
      <c r="CC58" s="27"/>
      <c r="CD58" s="27"/>
      <c r="CE58" s="29" t="str">
        <f t="shared" si="103"/>
        <v/>
      </c>
      <c r="CF58" s="27"/>
      <c r="CG58" s="27"/>
      <c r="CH58" s="27"/>
      <c r="CI58" s="29" t="str">
        <f t="shared" si="104"/>
        <v/>
      </c>
      <c r="CJ58" s="27"/>
      <c r="CK58" s="27"/>
      <c r="CL58" s="27"/>
      <c r="CM58" s="29" t="str">
        <f t="shared" si="105"/>
        <v/>
      </c>
      <c r="CN58" s="27"/>
      <c r="CO58" s="27"/>
      <c r="CP58" s="27"/>
      <c r="CQ58" s="29" t="str">
        <f t="shared" si="106"/>
        <v/>
      </c>
      <c r="CR58" s="27"/>
      <c r="CS58" s="27"/>
      <c r="CT58" s="29" t="str">
        <f t="shared" si="107"/>
        <v/>
      </c>
      <c r="CU58" s="27"/>
      <c r="CV58" s="27"/>
      <c r="CW58" s="27"/>
      <c r="CX58" s="29" t="str">
        <f t="shared" si="108"/>
        <v/>
      </c>
      <c r="CY58" s="27"/>
      <c r="CZ58" s="27"/>
      <c r="DA58" s="27"/>
      <c r="DB58" s="29" t="str">
        <f t="shared" si="109"/>
        <v/>
      </c>
      <c r="DC58" s="27"/>
      <c r="DD58" s="27"/>
      <c r="DE58" s="29" t="str">
        <f t="shared" si="110"/>
        <v/>
      </c>
      <c r="DF58" s="27"/>
      <c r="DG58" s="27"/>
      <c r="DH58" s="27"/>
      <c r="DI58" s="29" t="str">
        <f t="shared" si="111"/>
        <v/>
      </c>
      <c r="DJ58" s="27"/>
      <c r="DK58" s="27"/>
      <c r="DL58" s="27"/>
      <c r="DM58" s="29" t="str">
        <f t="shared" si="112"/>
        <v/>
      </c>
      <c r="DN58" s="27"/>
      <c r="DO58" s="27"/>
      <c r="DP58" s="27"/>
      <c r="DQ58" s="29" t="str">
        <f t="shared" si="113"/>
        <v/>
      </c>
      <c r="DR58" s="27"/>
      <c r="DS58" s="27"/>
      <c r="DT58" s="27"/>
      <c r="DU58" s="29" t="str">
        <f t="shared" si="114"/>
        <v/>
      </c>
      <c r="DV58" s="27"/>
      <c r="DW58" s="27"/>
      <c r="DX58" s="27"/>
      <c r="DY58" s="29" t="str">
        <f t="shared" si="115"/>
        <v/>
      </c>
      <c r="DZ58" s="27"/>
      <c r="EA58" s="27"/>
      <c r="EB58" s="27"/>
      <c r="EC58" s="29" t="str">
        <f t="shared" si="116"/>
        <v/>
      </c>
      <c r="ED58" s="27"/>
      <c r="EE58" s="27"/>
      <c r="EF58" s="27"/>
      <c r="EG58" s="29" t="str">
        <f t="shared" si="117"/>
        <v/>
      </c>
      <c r="EH58" s="27"/>
      <c r="EI58" s="27"/>
      <c r="EJ58" s="27"/>
      <c r="EK58" s="29" t="str">
        <f t="shared" si="118"/>
        <v/>
      </c>
      <c r="EL58" s="27"/>
      <c r="EM58" s="27"/>
      <c r="EN58" s="27"/>
      <c r="EO58" s="29" t="str">
        <f t="shared" si="119"/>
        <v/>
      </c>
      <c r="EP58" s="27"/>
      <c r="EQ58" s="27"/>
      <c r="ER58" s="27"/>
      <c r="ES58" s="29" t="str">
        <f t="shared" si="120"/>
        <v/>
      </c>
      <c r="ET58" s="27"/>
      <c r="EU58" s="27"/>
      <c r="EV58" s="27"/>
      <c r="EW58" s="29" t="str">
        <f t="shared" si="121"/>
        <v/>
      </c>
      <c r="EX58" s="27"/>
      <c r="EY58" s="27"/>
      <c r="EZ58" s="27"/>
      <c r="FA58" s="29" t="str">
        <f t="shared" si="122"/>
        <v/>
      </c>
      <c r="FB58" s="27"/>
      <c r="FC58" s="27"/>
      <c r="FD58" s="27"/>
      <c r="FE58" s="29" t="str">
        <f t="shared" si="123"/>
        <v/>
      </c>
      <c r="FF58" s="27"/>
      <c r="FG58" s="27"/>
      <c r="FH58" s="27"/>
      <c r="FI58" s="29" t="str">
        <f t="shared" si="124"/>
        <v/>
      </c>
      <c r="FJ58" s="27"/>
      <c r="FK58" s="27"/>
      <c r="FL58" s="27"/>
      <c r="FM58" s="29" t="str">
        <f t="shared" si="125"/>
        <v/>
      </c>
      <c r="FN58" s="27"/>
      <c r="FO58" s="27"/>
      <c r="FP58" s="27"/>
      <c r="FQ58" s="29" t="str">
        <f t="shared" si="126"/>
        <v/>
      </c>
      <c r="FR58" s="27"/>
      <c r="FS58" s="27"/>
      <c r="FT58" s="27"/>
    </row>
    <row r="59" spans="1:176" x14ac:dyDescent="0.2">
      <c r="A59" s="30" t="str">
        <f t="shared" si="82"/>
        <v xml:space="preserve"> </v>
      </c>
      <c r="B59" s="26"/>
      <c r="C59" s="26"/>
      <c r="D59" s="23"/>
      <c r="E59" s="27"/>
      <c r="F59" s="22"/>
      <c r="G59" s="22"/>
      <c r="H59" s="29" t="str">
        <f t="shared" si="83"/>
        <v/>
      </c>
      <c r="I59" s="27"/>
      <c r="J59" s="27"/>
      <c r="K59" s="22"/>
      <c r="L59" s="29" t="str">
        <f t="shared" si="84"/>
        <v/>
      </c>
      <c r="M59" s="27"/>
      <c r="N59" s="27"/>
      <c r="O59" s="22"/>
      <c r="P59" s="29" t="str">
        <f t="shared" si="85"/>
        <v/>
      </c>
      <c r="Q59" s="22"/>
      <c r="R59" s="32" t="str">
        <f t="shared" si="86"/>
        <v/>
      </c>
      <c r="S59" s="24"/>
      <c r="T59" s="22"/>
      <c r="U59" s="31" t="str">
        <f t="shared" si="87"/>
        <v/>
      </c>
      <c r="V59" s="27"/>
      <c r="W59" s="27"/>
      <c r="X59" s="27"/>
      <c r="Y59" s="32" t="str">
        <f t="shared" si="88"/>
        <v/>
      </c>
      <c r="Z59" s="27"/>
      <c r="AA59" s="27"/>
      <c r="AB59" s="27"/>
      <c r="AC59" s="29" t="str">
        <f t="shared" si="89"/>
        <v/>
      </c>
      <c r="AD59" s="27"/>
      <c r="AE59" s="27"/>
      <c r="AF59" s="27"/>
      <c r="AG59" s="29" t="str">
        <f t="shared" si="90"/>
        <v/>
      </c>
      <c r="AH59" s="27"/>
      <c r="AI59" s="27"/>
      <c r="AJ59" s="27"/>
      <c r="AK59" s="29" t="str">
        <f t="shared" si="91"/>
        <v/>
      </c>
      <c r="AL59" s="27"/>
      <c r="AM59" s="27"/>
      <c r="AN59" s="27"/>
      <c r="AO59" s="29" t="str">
        <f t="shared" si="92"/>
        <v/>
      </c>
      <c r="AP59" s="27"/>
      <c r="AQ59" s="27"/>
      <c r="AR59" s="27"/>
      <c r="AS59" s="29" t="str">
        <f t="shared" si="93"/>
        <v/>
      </c>
      <c r="AT59" s="27"/>
      <c r="AU59" s="27"/>
      <c r="AV59" s="27"/>
      <c r="AW59" s="29" t="str">
        <f t="shared" si="94"/>
        <v/>
      </c>
      <c r="AX59" s="24"/>
      <c r="AY59" s="27"/>
      <c r="AZ59" s="27"/>
      <c r="BA59" s="29" t="str">
        <f t="shared" si="95"/>
        <v/>
      </c>
      <c r="BB59" s="27"/>
      <c r="BC59" s="27"/>
      <c r="BD59" s="27"/>
      <c r="BE59" s="29" t="str">
        <f t="shared" si="96"/>
        <v/>
      </c>
      <c r="BF59" s="27"/>
      <c r="BG59" s="27"/>
      <c r="BH59" s="27"/>
      <c r="BI59" s="29" t="str">
        <f t="shared" si="97"/>
        <v/>
      </c>
      <c r="BJ59" s="27"/>
      <c r="BK59" s="27"/>
      <c r="BL59" s="27"/>
      <c r="BM59" s="29" t="str">
        <f t="shared" si="98"/>
        <v/>
      </c>
      <c r="BN59" s="22"/>
      <c r="BO59" s="22"/>
      <c r="BP59" s="27"/>
      <c r="BQ59" s="29" t="str">
        <f t="shared" si="99"/>
        <v/>
      </c>
      <c r="BR59" s="27"/>
      <c r="BS59" s="27"/>
      <c r="BT59" s="27"/>
      <c r="BU59" s="29" t="str">
        <f t="shared" si="100"/>
        <v/>
      </c>
      <c r="BV59" s="27"/>
      <c r="BW59" s="27"/>
      <c r="BX59" s="27"/>
      <c r="BY59" s="29" t="str">
        <f t="shared" si="101"/>
        <v/>
      </c>
      <c r="BZ59" s="27"/>
      <c r="CA59" s="27"/>
      <c r="CB59" s="29" t="str">
        <f t="shared" si="102"/>
        <v/>
      </c>
      <c r="CC59" s="27"/>
      <c r="CD59" s="27"/>
      <c r="CE59" s="29" t="str">
        <f t="shared" si="103"/>
        <v/>
      </c>
      <c r="CF59" s="27"/>
      <c r="CG59" s="27"/>
      <c r="CH59" s="27"/>
      <c r="CI59" s="29" t="str">
        <f t="shared" si="104"/>
        <v/>
      </c>
      <c r="CJ59" s="27"/>
      <c r="CK59" s="27"/>
      <c r="CL59" s="27"/>
      <c r="CM59" s="29" t="str">
        <f t="shared" si="105"/>
        <v/>
      </c>
      <c r="CN59" s="27"/>
      <c r="CO59" s="27"/>
      <c r="CP59" s="27"/>
      <c r="CQ59" s="29" t="str">
        <f t="shared" si="106"/>
        <v/>
      </c>
      <c r="CR59" s="27"/>
      <c r="CS59" s="27"/>
      <c r="CT59" s="29" t="str">
        <f t="shared" si="107"/>
        <v/>
      </c>
      <c r="CU59" s="27"/>
      <c r="CV59" s="27"/>
      <c r="CW59" s="27"/>
      <c r="CX59" s="29" t="str">
        <f t="shared" si="108"/>
        <v/>
      </c>
      <c r="CY59" s="27"/>
      <c r="CZ59" s="27"/>
      <c r="DA59" s="27"/>
      <c r="DB59" s="29" t="str">
        <f t="shared" si="109"/>
        <v/>
      </c>
      <c r="DC59" s="27"/>
      <c r="DD59" s="27"/>
      <c r="DE59" s="29" t="str">
        <f t="shared" si="110"/>
        <v/>
      </c>
      <c r="DF59" s="27"/>
      <c r="DG59" s="27"/>
      <c r="DH59" s="27"/>
      <c r="DI59" s="29" t="str">
        <f t="shared" si="111"/>
        <v/>
      </c>
      <c r="DJ59" s="27"/>
      <c r="DK59" s="27"/>
      <c r="DL59" s="27"/>
      <c r="DM59" s="29" t="str">
        <f t="shared" si="112"/>
        <v/>
      </c>
      <c r="DN59" s="27"/>
      <c r="DO59" s="27"/>
      <c r="DP59" s="27"/>
      <c r="DQ59" s="29" t="str">
        <f t="shared" si="113"/>
        <v/>
      </c>
      <c r="DR59" s="27"/>
      <c r="DS59" s="27"/>
      <c r="DT59" s="27"/>
      <c r="DU59" s="29" t="str">
        <f t="shared" si="114"/>
        <v/>
      </c>
      <c r="DV59" s="27"/>
      <c r="DW59" s="27"/>
      <c r="DX59" s="27"/>
      <c r="DY59" s="29" t="str">
        <f t="shared" si="115"/>
        <v/>
      </c>
      <c r="DZ59" s="27"/>
      <c r="EA59" s="27"/>
      <c r="EB59" s="27"/>
      <c r="EC59" s="29" t="str">
        <f t="shared" si="116"/>
        <v/>
      </c>
      <c r="ED59" s="27"/>
      <c r="EE59" s="27"/>
      <c r="EF59" s="27"/>
      <c r="EG59" s="29" t="str">
        <f t="shared" si="117"/>
        <v/>
      </c>
      <c r="EH59" s="27"/>
      <c r="EI59" s="27"/>
      <c r="EJ59" s="27"/>
      <c r="EK59" s="29" t="str">
        <f t="shared" si="118"/>
        <v/>
      </c>
      <c r="EL59" s="27"/>
      <c r="EM59" s="27"/>
      <c r="EN59" s="27"/>
      <c r="EO59" s="29" t="str">
        <f t="shared" si="119"/>
        <v/>
      </c>
      <c r="EP59" s="27"/>
      <c r="EQ59" s="27"/>
      <c r="ER59" s="27"/>
      <c r="ES59" s="29" t="str">
        <f t="shared" si="120"/>
        <v/>
      </c>
      <c r="ET59" s="27"/>
      <c r="EU59" s="27"/>
      <c r="EV59" s="27"/>
      <c r="EW59" s="29" t="str">
        <f t="shared" si="121"/>
        <v/>
      </c>
      <c r="EX59" s="27"/>
      <c r="EY59" s="27"/>
      <c r="EZ59" s="27"/>
      <c r="FA59" s="29" t="str">
        <f t="shared" si="122"/>
        <v/>
      </c>
      <c r="FB59" s="27"/>
      <c r="FC59" s="27"/>
      <c r="FD59" s="27"/>
      <c r="FE59" s="29" t="str">
        <f t="shared" si="123"/>
        <v/>
      </c>
      <c r="FF59" s="27"/>
      <c r="FG59" s="27"/>
      <c r="FH59" s="27"/>
      <c r="FI59" s="29" t="str">
        <f t="shared" si="124"/>
        <v/>
      </c>
      <c r="FJ59" s="27"/>
      <c r="FK59" s="27"/>
      <c r="FL59" s="27"/>
      <c r="FM59" s="29" t="str">
        <f t="shared" si="125"/>
        <v/>
      </c>
      <c r="FN59" s="27"/>
      <c r="FO59" s="27"/>
      <c r="FP59" s="27"/>
      <c r="FQ59" s="29" t="str">
        <f t="shared" si="126"/>
        <v/>
      </c>
      <c r="FR59" s="27"/>
      <c r="FS59" s="27"/>
      <c r="FT59" s="27"/>
    </row>
    <row r="60" spans="1:176" x14ac:dyDescent="0.2">
      <c r="A60" s="30" t="str">
        <f t="shared" si="82"/>
        <v xml:space="preserve"> </v>
      </c>
      <c r="B60" s="26"/>
      <c r="C60" s="26"/>
      <c r="D60" s="23"/>
      <c r="E60" s="27"/>
      <c r="F60" s="22"/>
      <c r="G60" s="22"/>
      <c r="H60" s="29" t="str">
        <f t="shared" si="83"/>
        <v/>
      </c>
      <c r="I60" s="27"/>
      <c r="J60" s="27"/>
      <c r="K60" s="22"/>
      <c r="L60" s="29" t="str">
        <f t="shared" si="84"/>
        <v/>
      </c>
      <c r="M60" s="27"/>
      <c r="N60" s="27"/>
      <c r="O60" s="22"/>
      <c r="P60" s="29" t="str">
        <f t="shared" si="85"/>
        <v/>
      </c>
      <c r="Q60" s="22"/>
      <c r="R60" s="32" t="str">
        <f t="shared" si="86"/>
        <v/>
      </c>
      <c r="S60" s="24"/>
      <c r="T60" s="22"/>
      <c r="U60" s="31" t="str">
        <f t="shared" si="87"/>
        <v/>
      </c>
      <c r="V60" s="27"/>
      <c r="W60" s="27"/>
      <c r="X60" s="27"/>
      <c r="Y60" s="32" t="str">
        <f t="shared" si="88"/>
        <v/>
      </c>
      <c r="Z60" s="27"/>
      <c r="AA60" s="27"/>
      <c r="AB60" s="27"/>
      <c r="AC60" s="29" t="str">
        <f t="shared" si="89"/>
        <v/>
      </c>
      <c r="AD60" s="27"/>
      <c r="AE60" s="27"/>
      <c r="AF60" s="27"/>
      <c r="AG60" s="29" t="str">
        <f t="shared" si="90"/>
        <v/>
      </c>
      <c r="AH60" s="27"/>
      <c r="AI60" s="27"/>
      <c r="AJ60" s="27"/>
      <c r="AK60" s="29" t="str">
        <f t="shared" si="91"/>
        <v/>
      </c>
      <c r="AL60" s="27"/>
      <c r="AM60" s="27"/>
      <c r="AN60" s="27"/>
      <c r="AO60" s="29" t="str">
        <f t="shared" si="92"/>
        <v/>
      </c>
      <c r="AP60" s="27"/>
      <c r="AQ60" s="27"/>
      <c r="AR60" s="27"/>
      <c r="AS60" s="29" t="str">
        <f t="shared" si="93"/>
        <v/>
      </c>
      <c r="AT60" s="27"/>
      <c r="AU60" s="27"/>
      <c r="AV60" s="27"/>
      <c r="AW60" s="29" t="str">
        <f t="shared" si="94"/>
        <v/>
      </c>
      <c r="AX60" s="24"/>
      <c r="AY60" s="27"/>
      <c r="AZ60" s="27"/>
      <c r="BA60" s="29" t="str">
        <f t="shared" si="95"/>
        <v/>
      </c>
      <c r="BB60" s="27"/>
      <c r="BC60" s="27"/>
      <c r="BD60" s="27"/>
      <c r="BE60" s="29" t="str">
        <f t="shared" si="96"/>
        <v/>
      </c>
      <c r="BF60" s="27"/>
      <c r="BG60" s="27"/>
      <c r="BH60" s="27"/>
      <c r="BI60" s="29" t="str">
        <f t="shared" si="97"/>
        <v/>
      </c>
      <c r="BJ60" s="27"/>
      <c r="BK60" s="27"/>
      <c r="BL60" s="27"/>
      <c r="BM60" s="29" t="str">
        <f t="shared" si="98"/>
        <v/>
      </c>
      <c r="BN60" s="22"/>
      <c r="BO60" s="22"/>
      <c r="BP60" s="27"/>
      <c r="BQ60" s="29" t="str">
        <f t="shared" si="99"/>
        <v/>
      </c>
      <c r="BR60" s="27"/>
      <c r="BS60" s="27"/>
      <c r="BT60" s="27"/>
      <c r="BU60" s="29" t="str">
        <f t="shared" si="100"/>
        <v/>
      </c>
      <c r="BV60" s="27"/>
      <c r="BW60" s="27"/>
      <c r="BX60" s="27"/>
      <c r="BY60" s="29" t="str">
        <f t="shared" si="101"/>
        <v/>
      </c>
      <c r="BZ60" s="27"/>
      <c r="CA60" s="27"/>
      <c r="CB60" s="29" t="str">
        <f t="shared" si="102"/>
        <v/>
      </c>
      <c r="CC60" s="27"/>
      <c r="CD60" s="27"/>
      <c r="CE60" s="29" t="str">
        <f t="shared" si="103"/>
        <v/>
      </c>
      <c r="CF60" s="27"/>
      <c r="CG60" s="27"/>
      <c r="CH60" s="27"/>
      <c r="CI60" s="29" t="str">
        <f t="shared" si="104"/>
        <v/>
      </c>
      <c r="CJ60" s="27"/>
      <c r="CK60" s="27"/>
      <c r="CL60" s="27"/>
      <c r="CM60" s="29" t="str">
        <f t="shared" si="105"/>
        <v/>
      </c>
      <c r="CN60" s="27"/>
      <c r="CO60" s="27"/>
      <c r="CP60" s="27"/>
      <c r="CQ60" s="29" t="str">
        <f t="shared" si="106"/>
        <v/>
      </c>
      <c r="CR60" s="27"/>
      <c r="CS60" s="27"/>
      <c r="CT60" s="29" t="str">
        <f t="shared" si="107"/>
        <v/>
      </c>
      <c r="CU60" s="27"/>
      <c r="CV60" s="27"/>
      <c r="CW60" s="27"/>
      <c r="CX60" s="29" t="str">
        <f t="shared" si="108"/>
        <v/>
      </c>
      <c r="CY60" s="27"/>
      <c r="CZ60" s="27"/>
      <c r="DA60" s="27"/>
      <c r="DB60" s="29" t="str">
        <f t="shared" si="109"/>
        <v/>
      </c>
      <c r="DC60" s="27"/>
      <c r="DD60" s="27"/>
      <c r="DE60" s="29" t="str">
        <f t="shared" si="110"/>
        <v/>
      </c>
      <c r="DF60" s="27"/>
      <c r="DG60" s="27"/>
      <c r="DH60" s="27"/>
      <c r="DI60" s="29" t="str">
        <f t="shared" si="111"/>
        <v/>
      </c>
      <c r="DJ60" s="27"/>
      <c r="DK60" s="27"/>
      <c r="DL60" s="27"/>
      <c r="DM60" s="29" t="str">
        <f t="shared" si="112"/>
        <v/>
      </c>
      <c r="DN60" s="27"/>
      <c r="DO60" s="27"/>
      <c r="DP60" s="27"/>
      <c r="DQ60" s="29" t="str">
        <f t="shared" si="113"/>
        <v/>
      </c>
      <c r="DR60" s="27"/>
      <c r="DS60" s="27"/>
      <c r="DT60" s="27"/>
      <c r="DU60" s="29" t="str">
        <f t="shared" si="114"/>
        <v/>
      </c>
      <c r="DV60" s="27"/>
      <c r="DW60" s="27"/>
      <c r="DX60" s="27"/>
      <c r="DY60" s="29" t="str">
        <f t="shared" si="115"/>
        <v/>
      </c>
      <c r="DZ60" s="27"/>
      <c r="EA60" s="27"/>
      <c r="EB60" s="27"/>
      <c r="EC60" s="29" t="str">
        <f t="shared" si="116"/>
        <v/>
      </c>
      <c r="ED60" s="27"/>
      <c r="EE60" s="27"/>
      <c r="EF60" s="27"/>
      <c r="EG60" s="29" t="str">
        <f t="shared" si="117"/>
        <v/>
      </c>
      <c r="EH60" s="27"/>
      <c r="EI60" s="27"/>
      <c r="EJ60" s="27"/>
      <c r="EK60" s="29" t="str">
        <f t="shared" si="118"/>
        <v/>
      </c>
      <c r="EL60" s="27"/>
      <c r="EM60" s="27"/>
      <c r="EN60" s="27"/>
      <c r="EO60" s="29" t="str">
        <f t="shared" si="119"/>
        <v/>
      </c>
      <c r="EP60" s="27"/>
      <c r="EQ60" s="27"/>
      <c r="ER60" s="27"/>
      <c r="ES60" s="29" t="str">
        <f t="shared" si="120"/>
        <v/>
      </c>
      <c r="ET60" s="27"/>
      <c r="EU60" s="27"/>
      <c r="EV60" s="27"/>
      <c r="EW60" s="29" t="str">
        <f t="shared" si="121"/>
        <v/>
      </c>
      <c r="EX60" s="27"/>
      <c r="EY60" s="27"/>
      <c r="EZ60" s="27"/>
      <c r="FA60" s="29" t="str">
        <f t="shared" si="122"/>
        <v/>
      </c>
      <c r="FB60" s="27"/>
      <c r="FC60" s="27"/>
      <c r="FD60" s="27"/>
      <c r="FE60" s="29" t="str">
        <f t="shared" si="123"/>
        <v/>
      </c>
      <c r="FF60" s="27"/>
      <c r="FG60" s="27"/>
      <c r="FH60" s="27"/>
      <c r="FI60" s="29" t="str">
        <f t="shared" si="124"/>
        <v/>
      </c>
      <c r="FJ60" s="27"/>
      <c r="FK60" s="27"/>
      <c r="FL60" s="27"/>
      <c r="FM60" s="29" t="str">
        <f t="shared" si="125"/>
        <v/>
      </c>
      <c r="FN60" s="27"/>
      <c r="FO60" s="27"/>
      <c r="FP60" s="27"/>
      <c r="FQ60" s="29" t="str">
        <f t="shared" si="126"/>
        <v/>
      </c>
      <c r="FR60" s="27"/>
      <c r="FS60" s="27"/>
      <c r="FT60" s="27"/>
    </row>
    <row r="61" spans="1:176" x14ac:dyDescent="0.2">
      <c r="A61" s="30" t="str">
        <f t="shared" si="82"/>
        <v xml:space="preserve"> </v>
      </c>
      <c r="B61" s="26"/>
      <c r="C61" s="26"/>
      <c r="D61" s="23"/>
      <c r="E61" s="27"/>
      <c r="F61" s="22"/>
      <c r="G61" s="22"/>
      <c r="H61" s="29" t="str">
        <f t="shared" si="83"/>
        <v/>
      </c>
      <c r="I61" s="27"/>
      <c r="J61" s="27"/>
      <c r="K61" s="22"/>
      <c r="L61" s="29" t="str">
        <f t="shared" si="84"/>
        <v/>
      </c>
      <c r="M61" s="27"/>
      <c r="N61" s="27"/>
      <c r="O61" s="22"/>
      <c r="P61" s="29" t="str">
        <f t="shared" si="85"/>
        <v/>
      </c>
      <c r="Q61" s="22"/>
      <c r="R61" s="32" t="str">
        <f t="shared" si="86"/>
        <v/>
      </c>
      <c r="S61" s="24"/>
      <c r="T61" s="22"/>
      <c r="U61" s="31" t="str">
        <f t="shared" si="87"/>
        <v/>
      </c>
      <c r="V61" s="27"/>
      <c r="W61" s="27"/>
      <c r="X61" s="27"/>
      <c r="Y61" s="32" t="str">
        <f t="shared" si="88"/>
        <v/>
      </c>
      <c r="Z61" s="27"/>
      <c r="AA61" s="27"/>
      <c r="AB61" s="27"/>
      <c r="AC61" s="29" t="str">
        <f t="shared" si="89"/>
        <v/>
      </c>
      <c r="AD61" s="27"/>
      <c r="AE61" s="27"/>
      <c r="AF61" s="27"/>
      <c r="AG61" s="29" t="str">
        <f t="shared" si="90"/>
        <v/>
      </c>
      <c r="AH61" s="27"/>
      <c r="AI61" s="27"/>
      <c r="AJ61" s="27"/>
      <c r="AK61" s="29" t="str">
        <f t="shared" si="91"/>
        <v/>
      </c>
      <c r="AL61" s="27"/>
      <c r="AM61" s="27"/>
      <c r="AN61" s="27"/>
      <c r="AO61" s="29" t="str">
        <f t="shared" si="92"/>
        <v/>
      </c>
      <c r="AP61" s="27"/>
      <c r="AQ61" s="27"/>
      <c r="AR61" s="27"/>
      <c r="AS61" s="29" t="str">
        <f t="shared" si="93"/>
        <v/>
      </c>
      <c r="AT61" s="27"/>
      <c r="AU61" s="27"/>
      <c r="AV61" s="27"/>
      <c r="AW61" s="29" t="str">
        <f t="shared" si="94"/>
        <v/>
      </c>
      <c r="AX61" s="24"/>
      <c r="AY61" s="27"/>
      <c r="AZ61" s="27"/>
      <c r="BA61" s="29" t="str">
        <f t="shared" si="95"/>
        <v/>
      </c>
      <c r="BB61" s="27"/>
      <c r="BC61" s="27"/>
      <c r="BD61" s="27"/>
      <c r="BE61" s="29" t="str">
        <f t="shared" si="96"/>
        <v/>
      </c>
      <c r="BF61" s="27"/>
      <c r="BG61" s="27"/>
      <c r="BH61" s="27"/>
      <c r="BI61" s="29" t="str">
        <f t="shared" si="97"/>
        <v/>
      </c>
      <c r="BJ61" s="27"/>
      <c r="BK61" s="27"/>
      <c r="BL61" s="27"/>
      <c r="BM61" s="29" t="str">
        <f t="shared" si="98"/>
        <v/>
      </c>
      <c r="BN61" s="22"/>
      <c r="BO61" s="22"/>
      <c r="BP61" s="27"/>
      <c r="BQ61" s="29" t="str">
        <f t="shared" si="99"/>
        <v/>
      </c>
      <c r="BR61" s="27"/>
      <c r="BS61" s="27"/>
      <c r="BT61" s="27"/>
      <c r="BU61" s="29" t="str">
        <f t="shared" si="100"/>
        <v/>
      </c>
      <c r="BV61" s="27"/>
      <c r="BW61" s="27"/>
      <c r="BX61" s="27"/>
      <c r="BY61" s="29" t="str">
        <f t="shared" si="101"/>
        <v/>
      </c>
      <c r="BZ61" s="27"/>
      <c r="CA61" s="27"/>
      <c r="CB61" s="29" t="str">
        <f t="shared" si="102"/>
        <v/>
      </c>
      <c r="CC61" s="27"/>
      <c r="CD61" s="27"/>
      <c r="CE61" s="29" t="str">
        <f t="shared" si="103"/>
        <v/>
      </c>
      <c r="CF61" s="27"/>
      <c r="CG61" s="27"/>
      <c r="CH61" s="27"/>
      <c r="CI61" s="29" t="str">
        <f t="shared" si="104"/>
        <v/>
      </c>
      <c r="CJ61" s="27"/>
      <c r="CK61" s="27"/>
      <c r="CL61" s="27"/>
      <c r="CM61" s="29" t="str">
        <f t="shared" si="105"/>
        <v/>
      </c>
      <c r="CN61" s="27"/>
      <c r="CO61" s="27"/>
      <c r="CP61" s="27"/>
      <c r="CQ61" s="29" t="str">
        <f t="shared" si="106"/>
        <v/>
      </c>
      <c r="CR61" s="27"/>
      <c r="CS61" s="27"/>
      <c r="CT61" s="29" t="str">
        <f t="shared" si="107"/>
        <v/>
      </c>
      <c r="CU61" s="27"/>
      <c r="CV61" s="27"/>
      <c r="CW61" s="27"/>
      <c r="CX61" s="29" t="str">
        <f t="shared" si="108"/>
        <v/>
      </c>
      <c r="CY61" s="27"/>
      <c r="CZ61" s="27"/>
      <c r="DA61" s="27"/>
      <c r="DB61" s="29" t="str">
        <f t="shared" si="109"/>
        <v/>
      </c>
      <c r="DC61" s="27"/>
      <c r="DD61" s="27"/>
      <c r="DE61" s="29" t="str">
        <f t="shared" si="110"/>
        <v/>
      </c>
      <c r="DF61" s="27"/>
      <c r="DG61" s="27"/>
      <c r="DH61" s="27"/>
      <c r="DI61" s="29" t="str">
        <f t="shared" si="111"/>
        <v/>
      </c>
      <c r="DJ61" s="27"/>
      <c r="DK61" s="27"/>
      <c r="DL61" s="27"/>
      <c r="DM61" s="29" t="str">
        <f t="shared" si="112"/>
        <v/>
      </c>
      <c r="DN61" s="27"/>
      <c r="DO61" s="27"/>
      <c r="DP61" s="27"/>
      <c r="DQ61" s="29" t="str">
        <f t="shared" si="113"/>
        <v/>
      </c>
      <c r="DR61" s="27"/>
      <c r="DS61" s="27"/>
      <c r="DT61" s="27"/>
      <c r="DU61" s="29" t="str">
        <f t="shared" si="114"/>
        <v/>
      </c>
      <c r="DV61" s="27"/>
      <c r="DW61" s="27"/>
      <c r="DX61" s="27"/>
      <c r="DY61" s="29" t="str">
        <f t="shared" si="115"/>
        <v/>
      </c>
      <c r="DZ61" s="27"/>
      <c r="EA61" s="27"/>
      <c r="EB61" s="27"/>
      <c r="EC61" s="29" t="str">
        <f t="shared" si="116"/>
        <v/>
      </c>
      <c r="ED61" s="27"/>
      <c r="EE61" s="27"/>
      <c r="EF61" s="27"/>
      <c r="EG61" s="29" t="str">
        <f t="shared" si="117"/>
        <v/>
      </c>
      <c r="EH61" s="27"/>
      <c r="EI61" s="27"/>
      <c r="EJ61" s="27"/>
      <c r="EK61" s="29" t="str">
        <f t="shared" si="118"/>
        <v/>
      </c>
      <c r="EL61" s="27"/>
      <c r="EM61" s="27"/>
      <c r="EN61" s="27"/>
      <c r="EO61" s="29" t="str">
        <f t="shared" si="119"/>
        <v/>
      </c>
      <c r="EP61" s="27"/>
      <c r="EQ61" s="27"/>
      <c r="ER61" s="27"/>
      <c r="ES61" s="29" t="str">
        <f t="shared" si="120"/>
        <v/>
      </c>
      <c r="ET61" s="27"/>
      <c r="EU61" s="27"/>
      <c r="EV61" s="27"/>
      <c r="EW61" s="29" t="str">
        <f t="shared" si="121"/>
        <v/>
      </c>
      <c r="EX61" s="27"/>
      <c r="EY61" s="27"/>
      <c r="EZ61" s="27"/>
      <c r="FA61" s="29" t="str">
        <f t="shared" si="122"/>
        <v/>
      </c>
      <c r="FB61" s="27"/>
      <c r="FC61" s="27"/>
      <c r="FD61" s="27"/>
      <c r="FE61" s="29" t="str">
        <f t="shared" si="123"/>
        <v/>
      </c>
      <c r="FF61" s="27"/>
      <c r="FG61" s="27"/>
      <c r="FH61" s="27"/>
      <c r="FI61" s="29" t="str">
        <f t="shared" si="124"/>
        <v/>
      </c>
      <c r="FJ61" s="27"/>
      <c r="FK61" s="27"/>
      <c r="FL61" s="27"/>
      <c r="FM61" s="29" t="str">
        <f t="shared" si="125"/>
        <v/>
      </c>
      <c r="FN61" s="27"/>
      <c r="FO61" s="27"/>
      <c r="FP61" s="27"/>
      <c r="FQ61" s="29" t="str">
        <f t="shared" si="126"/>
        <v/>
      </c>
      <c r="FR61" s="27"/>
      <c r="FS61" s="27"/>
      <c r="FT61" s="27"/>
    </row>
    <row r="62" spans="1:176" x14ac:dyDescent="0.2">
      <c r="A62" s="30" t="str">
        <f t="shared" si="82"/>
        <v xml:space="preserve"> </v>
      </c>
      <c r="B62" s="26"/>
      <c r="C62" s="26"/>
      <c r="D62" s="23"/>
      <c r="E62" s="27"/>
      <c r="F62" s="22"/>
      <c r="G62" s="22"/>
      <c r="H62" s="29" t="str">
        <f t="shared" si="83"/>
        <v/>
      </c>
      <c r="I62" s="27"/>
      <c r="J62" s="27"/>
      <c r="K62" s="22"/>
      <c r="L62" s="29" t="str">
        <f t="shared" si="84"/>
        <v/>
      </c>
      <c r="M62" s="27"/>
      <c r="N62" s="27"/>
      <c r="O62" s="22"/>
      <c r="P62" s="29" t="str">
        <f t="shared" si="85"/>
        <v/>
      </c>
      <c r="Q62" s="22"/>
      <c r="R62" s="32" t="str">
        <f t="shared" si="86"/>
        <v/>
      </c>
      <c r="S62" s="24"/>
      <c r="T62" s="22"/>
      <c r="U62" s="31" t="str">
        <f t="shared" si="87"/>
        <v/>
      </c>
      <c r="V62" s="27"/>
      <c r="W62" s="27"/>
      <c r="X62" s="27"/>
      <c r="Y62" s="32" t="str">
        <f t="shared" si="88"/>
        <v/>
      </c>
      <c r="Z62" s="27"/>
      <c r="AA62" s="27"/>
      <c r="AB62" s="27"/>
      <c r="AC62" s="29" t="str">
        <f t="shared" si="89"/>
        <v/>
      </c>
      <c r="AD62" s="27"/>
      <c r="AE62" s="27"/>
      <c r="AF62" s="27"/>
      <c r="AG62" s="29" t="str">
        <f t="shared" si="90"/>
        <v/>
      </c>
      <c r="AH62" s="27"/>
      <c r="AI62" s="27"/>
      <c r="AJ62" s="27"/>
      <c r="AK62" s="29" t="str">
        <f t="shared" si="91"/>
        <v/>
      </c>
      <c r="AL62" s="27"/>
      <c r="AM62" s="27"/>
      <c r="AN62" s="27"/>
      <c r="AO62" s="29" t="str">
        <f t="shared" si="92"/>
        <v/>
      </c>
      <c r="AP62" s="27"/>
      <c r="AQ62" s="27"/>
      <c r="AR62" s="27"/>
      <c r="AS62" s="29" t="str">
        <f t="shared" si="93"/>
        <v/>
      </c>
      <c r="AT62" s="27"/>
      <c r="AU62" s="27"/>
      <c r="AV62" s="27"/>
      <c r="AW62" s="29" t="str">
        <f t="shared" si="94"/>
        <v/>
      </c>
      <c r="AX62" s="24"/>
      <c r="AY62" s="27"/>
      <c r="AZ62" s="27"/>
      <c r="BA62" s="29" t="str">
        <f t="shared" si="95"/>
        <v/>
      </c>
      <c r="BB62" s="27"/>
      <c r="BC62" s="27"/>
      <c r="BD62" s="27"/>
      <c r="BE62" s="29" t="str">
        <f t="shared" si="96"/>
        <v/>
      </c>
      <c r="BF62" s="27"/>
      <c r="BG62" s="27"/>
      <c r="BH62" s="27"/>
      <c r="BI62" s="29" t="str">
        <f t="shared" si="97"/>
        <v/>
      </c>
      <c r="BJ62" s="27"/>
      <c r="BK62" s="27"/>
      <c r="BL62" s="27"/>
      <c r="BM62" s="29" t="str">
        <f t="shared" si="98"/>
        <v/>
      </c>
      <c r="BN62" s="22"/>
      <c r="BO62" s="22"/>
      <c r="BP62" s="27"/>
      <c r="BQ62" s="29" t="str">
        <f t="shared" si="99"/>
        <v/>
      </c>
      <c r="BR62" s="27"/>
      <c r="BS62" s="27"/>
      <c r="BT62" s="27"/>
      <c r="BU62" s="29" t="str">
        <f t="shared" si="100"/>
        <v/>
      </c>
      <c r="BV62" s="27"/>
      <c r="BW62" s="27"/>
      <c r="BX62" s="27"/>
      <c r="BY62" s="29" t="str">
        <f t="shared" si="101"/>
        <v/>
      </c>
      <c r="BZ62" s="27"/>
      <c r="CA62" s="27"/>
      <c r="CB62" s="29" t="str">
        <f t="shared" si="102"/>
        <v/>
      </c>
      <c r="CC62" s="27"/>
      <c r="CD62" s="27"/>
      <c r="CE62" s="29" t="str">
        <f t="shared" si="103"/>
        <v/>
      </c>
      <c r="CF62" s="27"/>
      <c r="CG62" s="27"/>
      <c r="CH62" s="27"/>
      <c r="CI62" s="29" t="str">
        <f t="shared" si="104"/>
        <v/>
      </c>
      <c r="CJ62" s="27"/>
      <c r="CK62" s="27"/>
      <c r="CL62" s="27"/>
      <c r="CM62" s="29" t="str">
        <f t="shared" si="105"/>
        <v/>
      </c>
      <c r="CN62" s="27"/>
      <c r="CO62" s="27"/>
      <c r="CP62" s="27"/>
      <c r="CQ62" s="29" t="str">
        <f t="shared" si="106"/>
        <v/>
      </c>
      <c r="CR62" s="27"/>
      <c r="CS62" s="27"/>
      <c r="CT62" s="29" t="str">
        <f t="shared" si="107"/>
        <v/>
      </c>
      <c r="CU62" s="27"/>
      <c r="CV62" s="27"/>
      <c r="CW62" s="27"/>
      <c r="CX62" s="29" t="str">
        <f t="shared" si="108"/>
        <v/>
      </c>
      <c r="CY62" s="27"/>
      <c r="CZ62" s="27"/>
      <c r="DA62" s="27"/>
      <c r="DB62" s="29" t="str">
        <f t="shared" si="109"/>
        <v/>
      </c>
      <c r="DC62" s="27"/>
      <c r="DD62" s="27"/>
      <c r="DE62" s="29" t="str">
        <f t="shared" si="110"/>
        <v/>
      </c>
      <c r="DF62" s="27"/>
      <c r="DG62" s="27"/>
      <c r="DH62" s="27"/>
      <c r="DI62" s="29" t="str">
        <f t="shared" si="111"/>
        <v/>
      </c>
      <c r="DJ62" s="27"/>
      <c r="DK62" s="27"/>
      <c r="DL62" s="27"/>
      <c r="DM62" s="29" t="str">
        <f t="shared" si="112"/>
        <v/>
      </c>
      <c r="DN62" s="27"/>
      <c r="DO62" s="27"/>
      <c r="DP62" s="27"/>
      <c r="DQ62" s="29" t="str">
        <f t="shared" si="113"/>
        <v/>
      </c>
      <c r="DR62" s="27"/>
      <c r="DS62" s="27"/>
      <c r="DT62" s="27"/>
      <c r="DU62" s="29" t="str">
        <f t="shared" si="114"/>
        <v/>
      </c>
      <c r="DV62" s="27"/>
      <c r="DW62" s="27"/>
      <c r="DX62" s="27"/>
      <c r="DY62" s="29" t="str">
        <f t="shared" si="115"/>
        <v/>
      </c>
      <c r="DZ62" s="27"/>
      <c r="EA62" s="27"/>
      <c r="EB62" s="27"/>
      <c r="EC62" s="29" t="str">
        <f t="shared" si="116"/>
        <v/>
      </c>
      <c r="ED62" s="27"/>
      <c r="EE62" s="27"/>
      <c r="EF62" s="27"/>
      <c r="EG62" s="29" t="str">
        <f t="shared" si="117"/>
        <v/>
      </c>
      <c r="EH62" s="27"/>
      <c r="EI62" s="27"/>
      <c r="EJ62" s="27"/>
      <c r="EK62" s="29" t="str">
        <f t="shared" si="118"/>
        <v/>
      </c>
      <c r="EL62" s="27"/>
      <c r="EM62" s="27"/>
      <c r="EN62" s="27"/>
      <c r="EO62" s="29" t="str">
        <f t="shared" si="119"/>
        <v/>
      </c>
      <c r="EP62" s="27"/>
      <c r="EQ62" s="27"/>
      <c r="ER62" s="27"/>
      <c r="ES62" s="29" t="str">
        <f t="shared" si="120"/>
        <v/>
      </c>
      <c r="ET62" s="27"/>
      <c r="EU62" s="27"/>
      <c r="EV62" s="27"/>
      <c r="EW62" s="29" t="str">
        <f t="shared" si="121"/>
        <v/>
      </c>
      <c r="EX62" s="27"/>
      <c r="EY62" s="27"/>
      <c r="EZ62" s="27"/>
      <c r="FA62" s="29" t="str">
        <f t="shared" si="122"/>
        <v/>
      </c>
      <c r="FB62" s="27"/>
      <c r="FC62" s="27"/>
      <c r="FD62" s="27"/>
      <c r="FE62" s="29" t="str">
        <f t="shared" si="123"/>
        <v/>
      </c>
      <c r="FF62" s="27"/>
      <c r="FG62" s="27"/>
      <c r="FH62" s="27"/>
      <c r="FI62" s="29" t="str">
        <f t="shared" si="124"/>
        <v/>
      </c>
      <c r="FJ62" s="27"/>
      <c r="FK62" s="27"/>
      <c r="FL62" s="27"/>
      <c r="FM62" s="29" t="str">
        <f t="shared" si="125"/>
        <v/>
      </c>
      <c r="FN62" s="27"/>
      <c r="FO62" s="27"/>
      <c r="FP62" s="27"/>
      <c r="FQ62" s="29" t="str">
        <f t="shared" si="126"/>
        <v/>
      </c>
      <c r="FR62" s="27"/>
      <c r="FS62" s="27"/>
      <c r="FT62" s="27"/>
    </row>
    <row r="63" spans="1:176" x14ac:dyDescent="0.2">
      <c r="A63" s="30" t="str">
        <f t="shared" si="82"/>
        <v xml:space="preserve"> </v>
      </c>
      <c r="B63" s="26"/>
      <c r="C63" s="26"/>
      <c r="D63" s="23"/>
      <c r="E63" s="27"/>
      <c r="F63" s="22"/>
      <c r="G63" s="22"/>
      <c r="H63" s="29" t="str">
        <f t="shared" si="83"/>
        <v/>
      </c>
      <c r="I63" s="27"/>
      <c r="J63" s="27"/>
      <c r="K63" s="22"/>
      <c r="L63" s="29" t="str">
        <f t="shared" si="84"/>
        <v/>
      </c>
      <c r="M63" s="27"/>
      <c r="N63" s="27"/>
      <c r="O63" s="22"/>
      <c r="P63" s="29" t="str">
        <f t="shared" si="85"/>
        <v/>
      </c>
      <c r="Q63" s="22"/>
      <c r="R63" s="32" t="str">
        <f t="shared" si="86"/>
        <v/>
      </c>
      <c r="S63" s="24"/>
      <c r="T63" s="22"/>
      <c r="U63" s="31" t="str">
        <f t="shared" si="87"/>
        <v/>
      </c>
      <c r="V63" s="27"/>
      <c r="W63" s="27"/>
      <c r="X63" s="27"/>
      <c r="Y63" s="32" t="str">
        <f t="shared" si="88"/>
        <v/>
      </c>
      <c r="Z63" s="27"/>
      <c r="AA63" s="27"/>
      <c r="AB63" s="27"/>
      <c r="AC63" s="29" t="str">
        <f t="shared" si="89"/>
        <v/>
      </c>
      <c r="AD63" s="27"/>
      <c r="AE63" s="27"/>
      <c r="AF63" s="27"/>
      <c r="AG63" s="29" t="str">
        <f t="shared" si="90"/>
        <v/>
      </c>
      <c r="AH63" s="27"/>
      <c r="AI63" s="27"/>
      <c r="AJ63" s="27"/>
      <c r="AK63" s="29" t="str">
        <f t="shared" si="91"/>
        <v/>
      </c>
      <c r="AL63" s="27"/>
      <c r="AM63" s="27"/>
      <c r="AN63" s="27"/>
      <c r="AO63" s="29" t="str">
        <f t="shared" si="92"/>
        <v/>
      </c>
      <c r="AP63" s="27"/>
      <c r="AQ63" s="27"/>
      <c r="AR63" s="27"/>
      <c r="AS63" s="29" t="str">
        <f t="shared" si="93"/>
        <v/>
      </c>
      <c r="AT63" s="27"/>
      <c r="AU63" s="27"/>
      <c r="AV63" s="27"/>
      <c r="AW63" s="29" t="str">
        <f t="shared" si="94"/>
        <v/>
      </c>
      <c r="AX63" s="24"/>
      <c r="AY63" s="27"/>
      <c r="AZ63" s="27"/>
      <c r="BA63" s="29" t="str">
        <f t="shared" si="95"/>
        <v/>
      </c>
      <c r="BB63" s="27"/>
      <c r="BC63" s="27"/>
      <c r="BD63" s="27"/>
      <c r="BE63" s="29" t="str">
        <f t="shared" si="96"/>
        <v/>
      </c>
      <c r="BF63" s="27"/>
      <c r="BG63" s="27"/>
      <c r="BH63" s="27"/>
      <c r="BI63" s="29" t="str">
        <f t="shared" si="97"/>
        <v/>
      </c>
      <c r="BJ63" s="27"/>
      <c r="BK63" s="27"/>
      <c r="BL63" s="27"/>
      <c r="BM63" s="29" t="str">
        <f t="shared" si="98"/>
        <v/>
      </c>
      <c r="BN63" s="22"/>
      <c r="BO63" s="22"/>
      <c r="BP63" s="27"/>
      <c r="BQ63" s="29" t="str">
        <f t="shared" si="99"/>
        <v/>
      </c>
      <c r="BR63" s="27"/>
      <c r="BS63" s="27"/>
      <c r="BT63" s="27"/>
      <c r="BU63" s="29" t="str">
        <f t="shared" si="100"/>
        <v/>
      </c>
      <c r="BV63" s="27"/>
      <c r="BW63" s="27"/>
      <c r="BX63" s="27"/>
      <c r="BY63" s="29" t="str">
        <f t="shared" si="101"/>
        <v/>
      </c>
      <c r="BZ63" s="27"/>
      <c r="CA63" s="27"/>
      <c r="CB63" s="29" t="str">
        <f t="shared" si="102"/>
        <v/>
      </c>
      <c r="CC63" s="27"/>
      <c r="CD63" s="27"/>
      <c r="CE63" s="29" t="str">
        <f t="shared" si="103"/>
        <v/>
      </c>
      <c r="CF63" s="27"/>
      <c r="CG63" s="27"/>
      <c r="CH63" s="27"/>
      <c r="CI63" s="29" t="str">
        <f t="shared" si="104"/>
        <v/>
      </c>
      <c r="CJ63" s="27"/>
      <c r="CK63" s="27"/>
      <c r="CL63" s="27"/>
      <c r="CM63" s="29" t="str">
        <f t="shared" si="105"/>
        <v/>
      </c>
      <c r="CN63" s="27"/>
      <c r="CO63" s="27"/>
      <c r="CP63" s="27"/>
      <c r="CQ63" s="29" t="str">
        <f t="shared" si="106"/>
        <v/>
      </c>
      <c r="CR63" s="27"/>
      <c r="CS63" s="27"/>
      <c r="CT63" s="29" t="str">
        <f t="shared" si="107"/>
        <v/>
      </c>
      <c r="CU63" s="27"/>
      <c r="CV63" s="27"/>
      <c r="CW63" s="27"/>
      <c r="CX63" s="29" t="str">
        <f t="shared" si="108"/>
        <v/>
      </c>
      <c r="CY63" s="27"/>
      <c r="CZ63" s="27"/>
      <c r="DA63" s="27"/>
      <c r="DB63" s="29" t="str">
        <f t="shared" si="109"/>
        <v/>
      </c>
      <c r="DC63" s="27"/>
      <c r="DD63" s="27"/>
      <c r="DE63" s="29" t="str">
        <f t="shared" si="110"/>
        <v/>
      </c>
      <c r="DF63" s="27"/>
      <c r="DG63" s="27"/>
      <c r="DH63" s="27"/>
      <c r="DI63" s="29" t="str">
        <f t="shared" si="111"/>
        <v/>
      </c>
      <c r="DJ63" s="27"/>
      <c r="DK63" s="27"/>
      <c r="DL63" s="27"/>
      <c r="DM63" s="29" t="str">
        <f t="shared" si="112"/>
        <v/>
      </c>
      <c r="DN63" s="27"/>
      <c r="DO63" s="27"/>
      <c r="DP63" s="27"/>
      <c r="DQ63" s="29" t="str">
        <f t="shared" si="113"/>
        <v/>
      </c>
      <c r="DR63" s="27"/>
      <c r="DS63" s="27"/>
      <c r="DT63" s="27"/>
      <c r="DU63" s="29" t="str">
        <f t="shared" si="114"/>
        <v/>
      </c>
      <c r="DV63" s="27"/>
      <c r="DW63" s="27"/>
      <c r="DX63" s="27"/>
      <c r="DY63" s="29" t="str">
        <f t="shared" si="115"/>
        <v/>
      </c>
      <c r="DZ63" s="27"/>
      <c r="EA63" s="27"/>
      <c r="EB63" s="27"/>
      <c r="EC63" s="29" t="str">
        <f t="shared" si="116"/>
        <v/>
      </c>
      <c r="ED63" s="27"/>
      <c r="EE63" s="27"/>
      <c r="EF63" s="27"/>
      <c r="EG63" s="29" t="str">
        <f t="shared" si="117"/>
        <v/>
      </c>
      <c r="EH63" s="27"/>
      <c r="EI63" s="27"/>
      <c r="EJ63" s="27"/>
      <c r="EK63" s="29" t="str">
        <f t="shared" si="118"/>
        <v/>
      </c>
      <c r="EL63" s="27"/>
      <c r="EM63" s="27"/>
      <c r="EN63" s="27"/>
      <c r="EO63" s="29" t="str">
        <f t="shared" si="119"/>
        <v/>
      </c>
      <c r="EP63" s="27"/>
      <c r="EQ63" s="27"/>
      <c r="ER63" s="27"/>
      <c r="ES63" s="29" t="str">
        <f t="shared" si="120"/>
        <v/>
      </c>
      <c r="ET63" s="27"/>
      <c r="EU63" s="27"/>
      <c r="EV63" s="27"/>
      <c r="EW63" s="29" t="str">
        <f t="shared" si="121"/>
        <v/>
      </c>
      <c r="EX63" s="27"/>
      <c r="EY63" s="27"/>
      <c r="EZ63" s="27"/>
      <c r="FA63" s="29" t="str">
        <f t="shared" si="122"/>
        <v/>
      </c>
      <c r="FB63" s="27"/>
      <c r="FC63" s="27"/>
      <c r="FD63" s="27"/>
      <c r="FE63" s="29" t="str">
        <f t="shared" si="123"/>
        <v/>
      </c>
      <c r="FF63" s="27"/>
      <c r="FG63" s="27"/>
      <c r="FH63" s="27"/>
      <c r="FI63" s="29" t="str">
        <f t="shared" si="124"/>
        <v/>
      </c>
      <c r="FJ63" s="27"/>
      <c r="FK63" s="27"/>
      <c r="FL63" s="27"/>
      <c r="FM63" s="29" t="str">
        <f t="shared" si="125"/>
        <v/>
      </c>
      <c r="FN63" s="27"/>
      <c r="FO63" s="27"/>
      <c r="FP63" s="27"/>
      <c r="FQ63" s="29" t="str">
        <f t="shared" si="126"/>
        <v/>
      </c>
      <c r="FR63" s="27"/>
      <c r="FS63" s="27"/>
      <c r="FT63" s="27"/>
    </row>
    <row r="64" spans="1:176" x14ac:dyDescent="0.2">
      <c r="A64" s="30" t="str">
        <f t="shared" si="82"/>
        <v xml:space="preserve"> </v>
      </c>
      <c r="B64" s="26"/>
      <c r="C64" s="26"/>
      <c r="D64" s="23"/>
      <c r="E64" s="27"/>
      <c r="F64" s="22"/>
      <c r="G64" s="22"/>
      <c r="H64" s="29" t="str">
        <f t="shared" si="83"/>
        <v/>
      </c>
      <c r="I64" s="27"/>
      <c r="J64" s="27"/>
      <c r="K64" s="22"/>
      <c r="L64" s="29" t="str">
        <f t="shared" si="84"/>
        <v/>
      </c>
      <c r="M64" s="27"/>
      <c r="N64" s="27"/>
      <c r="O64" s="22"/>
      <c r="P64" s="29" t="str">
        <f t="shared" si="85"/>
        <v/>
      </c>
      <c r="Q64" s="22"/>
      <c r="R64" s="32" t="str">
        <f t="shared" si="86"/>
        <v/>
      </c>
      <c r="S64" s="24"/>
      <c r="T64" s="22"/>
      <c r="U64" s="31" t="str">
        <f t="shared" si="87"/>
        <v/>
      </c>
      <c r="V64" s="27"/>
      <c r="W64" s="27"/>
      <c r="X64" s="27"/>
      <c r="Y64" s="32" t="str">
        <f t="shared" si="88"/>
        <v/>
      </c>
      <c r="Z64" s="27"/>
      <c r="AA64" s="27"/>
      <c r="AB64" s="27"/>
      <c r="AC64" s="29" t="str">
        <f t="shared" si="89"/>
        <v/>
      </c>
      <c r="AD64" s="27"/>
      <c r="AE64" s="27"/>
      <c r="AF64" s="27"/>
      <c r="AG64" s="29" t="str">
        <f t="shared" si="90"/>
        <v/>
      </c>
      <c r="AH64" s="27"/>
      <c r="AI64" s="27"/>
      <c r="AJ64" s="27"/>
      <c r="AK64" s="29" t="str">
        <f t="shared" si="91"/>
        <v/>
      </c>
      <c r="AL64" s="27"/>
      <c r="AM64" s="27"/>
      <c r="AN64" s="27"/>
      <c r="AO64" s="29" t="str">
        <f t="shared" si="92"/>
        <v/>
      </c>
      <c r="AP64" s="27"/>
      <c r="AQ64" s="27"/>
      <c r="AR64" s="27"/>
      <c r="AS64" s="29" t="str">
        <f t="shared" si="93"/>
        <v/>
      </c>
      <c r="AT64" s="27"/>
      <c r="AU64" s="27"/>
      <c r="AV64" s="27"/>
      <c r="AW64" s="29" t="str">
        <f t="shared" si="94"/>
        <v/>
      </c>
      <c r="AX64" s="24"/>
      <c r="AY64" s="27"/>
      <c r="AZ64" s="27"/>
      <c r="BA64" s="29" t="str">
        <f t="shared" si="95"/>
        <v/>
      </c>
      <c r="BB64" s="27"/>
      <c r="BC64" s="27"/>
      <c r="BD64" s="27"/>
      <c r="BE64" s="29" t="str">
        <f t="shared" si="96"/>
        <v/>
      </c>
      <c r="BF64" s="27"/>
      <c r="BG64" s="27"/>
      <c r="BH64" s="27"/>
      <c r="BI64" s="29" t="str">
        <f t="shared" si="97"/>
        <v/>
      </c>
      <c r="BJ64" s="27"/>
      <c r="BK64" s="27"/>
      <c r="BL64" s="27"/>
      <c r="BM64" s="29" t="str">
        <f t="shared" si="98"/>
        <v/>
      </c>
      <c r="BN64" s="22"/>
      <c r="BO64" s="22"/>
      <c r="BP64" s="27"/>
      <c r="BQ64" s="29" t="str">
        <f t="shared" si="99"/>
        <v/>
      </c>
      <c r="BR64" s="27"/>
      <c r="BS64" s="27"/>
      <c r="BT64" s="27"/>
      <c r="BU64" s="29" t="str">
        <f t="shared" si="100"/>
        <v/>
      </c>
      <c r="BV64" s="27"/>
      <c r="BW64" s="27"/>
      <c r="BX64" s="27"/>
      <c r="BY64" s="29" t="str">
        <f t="shared" si="101"/>
        <v/>
      </c>
      <c r="BZ64" s="27"/>
      <c r="CA64" s="27"/>
      <c r="CB64" s="29" t="str">
        <f t="shared" si="102"/>
        <v/>
      </c>
      <c r="CC64" s="27"/>
      <c r="CD64" s="27"/>
      <c r="CE64" s="29" t="str">
        <f t="shared" si="103"/>
        <v/>
      </c>
      <c r="CF64" s="27"/>
      <c r="CG64" s="27"/>
      <c r="CH64" s="27"/>
      <c r="CI64" s="29" t="str">
        <f t="shared" si="104"/>
        <v/>
      </c>
      <c r="CJ64" s="27"/>
      <c r="CK64" s="27"/>
      <c r="CL64" s="27"/>
      <c r="CM64" s="29" t="str">
        <f t="shared" si="105"/>
        <v/>
      </c>
      <c r="CN64" s="27"/>
      <c r="CO64" s="27"/>
      <c r="CP64" s="27"/>
      <c r="CQ64" s="29" t="str">
        <f t="shared" si="106"/>
        <v/>
      </c>
      <c r="CR64" s="27"/>
      <c r="CS64" s="27"/>
      <c r="CT64" s="29" t="str">
        <f t="shared" si="107"/>
        <v/>
      </c>
      <c r="CU64" s="27"/>
      <c r="CV64" s="27"/>
      <c r="CW64" s="27"/>
      <c r="CX64" s="29" t="str">
        <f t="shared" si="108"/>
        <v/>
      </c>
      <c r="CY64" s="27"/>
      <c r="CZ64" s="27"/>
      <c r="DA64" s="27"/>
      <c r="DB64" s="29" t="str">
        <f t="shared" si="109"/>
        <v/>
      </c>
      <c r="DC64" s="27"/>
      <c r="DD64" s="27"/>
      <c r="DE64" s="29" t="str">
        <f t="shared" si="110"/>
        <v/>
      </c>
      <c r="DF64" s="27"/>
      <c r="DG64" s="27"/>
      <c r="DH64" s="27"/>
      <c r="DI64" s="29" t="str">
        <f t="shared" si="111"/>
        <v/>
      </c>
      <c r="DJ64" s="27"/>
      <c r="DK64" s="27"/>
      <c r="DL64" s="27"/>
      <c r="DM64" s="29" t="str">
        <f t="shared" si="112"/>
        <v/>
      </c>
      <c r="DN64" s="27"/>
      <c r="DO64" s="27"/>
      <c r="DP64" s="27"/>
      <c r="DQ64" s="29" t="str">
        <f t="shared" si="113"/>
        <v/>
      </c>
      <c r="DR64" s="27"/>
      <c r="DS64" s="27"/>
      <c r="DT64" s="27"/>
      <c r="DU64" s="29" t="str">
        <f t="shared" si="114"/>
        <v/>
      </c>
      <c r="DV64" s="27"/>
      <c r="DW64" s="27"/>
      <c r="DX64" s="27"/>
      <c r="DY64" s="29" t="str">
        <f t="shared" si="115"/>
        <v/>
      </c>
      <c r="DZ64" s="27"/>
      <c r="EA64" s="27"/>
      <c r="EB64" s="27"/>
      <c r="EC64" s="29" t="str">
        <f t="shared" si="116"/>
        <v/>
      </c>
      <c r="ED64" s="27"/>
      <c r="EE64" s="27"/>
      <c r="EF64" s="27"/>
      <c r="EG64" s="29" t="str">
        <f t="shared" si="117"/>
        <v/>
      </c>
      <c r="EH64" s="27"/>
      <c r="EI64" s="27"/>
      <c r="EJ64" s="27"/>
      <c r="EK64" s="29" t="str">
        <f t="shared" si="118"/>
        <v/>
      </c>
      <c r="EL64" s="27"/>
      <c r="EM64" s="27"/>
      <c r="EN64" s="27"/>
      <c r="EO64" s="29" t="str">
        <f t="shared" si="119"/>
        <v/>
      </c>
      <c r="EP64" s="27"/>
      <c r="EQ64" s="27"/>
      <c r="ER64" s="27"/>
      <c r="ES64" s="29" t="str">
        <f t="shared" si="120"/>
        <v/>
      </c>
      <c r="ET64" s="27"/>
      <c r="EU64" s="27"/>
      <c r="EV64" s="27"/>
      <c r="EW64" s="29" t="str">
        <f t="shared" si="121"/>
        <v/>
      </c>
      <c r="EX64" s="27"/>
      <c r="EY64" s="27"/>
      <c r="EZ64" s="27"/>
      <c r="FA64" s="29" t="str">
        <f t="shared" si="122"/>
        <v/>
      </c>
      <c r="FB64" s="27"/>
      <c r="FC64" s="27"/>
      <c r="FD64" s="27"/>
      <c r="FE64" s="29" t="str">
        <f t="shared" si="123"/>
        <v/>
      </c>
      <c r="FF64" s="27"/>
      <c r="FG64" s="27"/>
      <c r="FH64" s="27"/>
      <c r="FI64" s="29" t="str">
        <f t="shared" si="124"/>
        <v/>
      </c>
      <c r="FJ64" s="27"/>
      <c r="FK64" s="27"/>
      <c r="FL64" s="27"/>
      <c r="FM64" s="29" t="str">
        <f t="shared" si="125"/>
        <v/>
      </c>
      <c r="FN64" s="27"/>
      <c r="FO64" s="27"/>
      <c r="FP64" s="27"/>
      <c r="FQ64" s="29" t="str">
        <f t="shared" si="126"/>
        <v/>
      </c>
      <c r="FR64" s="27"/>
      <c r="FS64" s="27"/>
      <c r="FT64" s="27"/>
    </row>
    <row r="65" spans="1:176" x14ac:dyDescent="0.2">
      <c r="A65" s="30" t="str">
        <f t="shared" si="82"/>
        <v xml:space="preserve"> </v>
      </c>
      <c r="B65" s="26"/>
      <c r="C65" s="26"/>
      <c r="D65" s="23"/>
      <c r="E65" s="27"/>
      <c r="F65" s="22"/>
      <c r="G65" s="22"/>
      <c r="H65" s="29" t="str">
        <f t="shared" si="83"/>
        <v/>
      </c>
      <c r="I65" s="27"/>
      <c r="J65" s="27"/>
      <c r="K65" s="22"/>
      <c r="L65" s="29" t="str">
        <f t="shared" si="84"/>
        <v/>
      </c>
      <c r="M65" s="27"/>
      <c r="N65" s="27"/>
      <c r="O65" s="22"/>
      <c r="P65" s="29" t="str">
        <f t="shared" si="85"/>
        <v/>
      </c>
      <c r="Q65" s="22"/>
      <c r="R65" s="32" t="str">
        <f t="shared" si="86"/>
        <v/>
      </c>
      <c r="S65" s="24"/>
      <c r="T65" s="22"/>
      <c r="U65" s="31" t="str">
        <f t="shared" si="87"/>
        <v/>
      </c>
      <c r="V65" s="27"/>
      <c r="W65" s="27"/>
      <c r="X65" s="27"/>
      <c r="Y65" s="32" t="str">
        <f t="shared" si="88"/>
        <v/>
      </c>
      <c r="Z65" s="27"/>
      <c r="AA65" s="27"/>
      <c r="AB65" s="27"/>
      <c r="AC65" s="29" t="str">
        <f t="shared" si="89"/>
        <v/>
      </c>
      <c r="AD65" s="27"/>
      <c r="AE65" s="27"/>
      <c r="AF65" s="27"/>
      <c r="AG65" s="29" t="str">
        <f t="shared" si="90"/>
        <v/>
      </c>
      <c r="AH65" s="27"/>
      <c r="AI65" s="27"/>
      <c r="AJ65" s="27"/>
      <c r="AK65" s="29" t="str">
        <f t="shared" si="91"/>
        <v/>
      </c>
      <c r="AL65" s="27"/>
      <c r="AM65" s="27"/>
      <c r="AN65" s="27"/>
      <c r="AO65" s="29" t="str">
        <f t="shared" si="92"/>
        <v/>
      </c>
      <c r="AP65" s="27"/>
      <c r="AQ65" s="27"/>
      <c r="AR65" s="27"/>
      <c r="AS65" s="29" t="str">
        <f t="shared" si="93"/>
        <v/>
      </c>
      <c r="AT65" s="27"/>
      <c r="AU65" s="27"/>
      <c r="AV65" s="27"/>
      <c r="AW65" s="29" t="str">
        <f t="shared" si="94"/>
        <v/>
      </c>
      <c r="AX65" s="24"/>
      <c r="AY65" s="27"/>
      <c r="AZ65" s="27"/>
      <c r="BA65" s="29" t="str">
        <f t="shared" si="95"/>
        <v/>
      </c>
      <c r="BB65" s="27"/>
      <c r="BC65" s="27"/>
      <c r="BD65" s="27"/>
      <c r="BE65" s="29" t="str">
        <f t="shared" si="96"/>
        <v/>
      </c>
      <c r="BF65" s="27"/>
      <c r="BG65" s="27"/>
      <c r="BH65" s="27"/>
      <c r="BI65" s="29" t="str">
        <f t="shared" si="97"/>
        <v/>
      </c>
      <c r="BJ65" s="27"/>
      <c r="BK65" s="27"/>
      <c r="BL65" s="27"/>
      <c r="BM65" s="29" t="str">
        <f t="shared" si="98"/>
        <v/>
      </c>
      <c r="BN65" s="22"/>
      <c r="BO65" s="22"/>
      <c r="BP65" s="27"/>
      <c r="BQ65" s="29" t="str">
        <f t="shared" si="99"/>
        <v/>
      </c>
      <c r="BR65" s="27"/>
      <c r="BS65" s="27"/>
      <c r="BT65" s="27"/>
      <c r="BU65" s="29" t="str">
        <f t="shared" si="100"/>
        <v/>
      </c>
      <c r="BV65" s="27"/>
      <c r="BW65" s="27"/>
      <c r="BX65" s="27"/>
      <c r="BY65" s="29" t="str">
        <f t="shared" si="101"/>
        <v/>
      </c>
      <c r="BZ65" s="27"/>
      <c r="CA65" s="27"/>
      <c r="CB65" s="29" t="str">
        <f t="shared" si="102"/>
        <v/>
      </c>
      <c r="CC65" s="27"/>
      <c r="CD65" s="27"/>
      <c r="CE65" s="29" t="str">
        <f t="shared" si="103"/>
        <v/>
      </c>
      <c r="CF65" s="27"/>
      <c r="CG65" s="27"/>
      <c r="CH65" s="27"/>
      <c r="CI65" s="29" t="str">
        <f t="shared" si="104"/>
        <v/>
      </c>
      <c r="CJ65" s="27"/>
      <c r="CK65" s="27"/>
      <c r="CL65" s="27"/>
      <c r="CM65" s="29" t="str">
        <f t="shared" si="105"/>
        <v/>
      </c>
      <c r="CN65" s="27"/>
      <c r="CO65" s="27"/>
      <c r="CP65" s="27"/>
      <c r="CQ65" s="29" t="str">
        <f t="shared" si="106"/>
        <v/>
      </c>
      <c r="CR65" s="27"/>
      <c r="CS65" s="27"/>
      <c r="CT65" s="29" t="str">
        <f t="shared" si="107"/>
        <v/>
      </c>
      <c r="CU65" s="27"/>
      <c r="CV65" s="27"/>
      <c r="CW65" s="27"/>
      <c r="CX65" s="29" t="str">
        <f t="shared" si="108"/>
        <v/>
      </c>
      <c r="CY65" s="27"/>
      <c r="CZ65" s="27"/>
      <c r="DA65" s="27"/>
      <c r="DB65" s="29" t="str">
        <f t="shared" si="109"/>
        <v/>
      </c>
      <c r="DC65" s="27"/>
      <c r="DD65" s="27"/>
      <c r="DE65" s="29" t="str">
        <f t="shared" si="110"/>
        <v/>
      </c>
      <c r="DF65" s="27"/>
      <c r="DG65" s="27"/>
      <c r="DH65" s="27"/>
      <c r="DI65" s="29" t="str">
        <f t="shared" si="111"/>
        <v/>
      </c>
      <c r="DJ65" s="27"/>
      <c r="DK65" s="27"/>
      <c r="DL65" s="27"/>
      <c r="DM65" s="29" t="str">
        <f t="shared" si="112"/>
        <v/>
      </c>
      <c r="DN65" s="27"/>
      <c r="DO65" s="27"/>
      <c r="DP65" s="27"/>
      <c r="DQ65" s="29" t="str">
        <f t="shared" si="113"/>
        <v/>
      </c>
      <c r="DR65" s="27"/>
      <c r="DS65" s="27"/>
      <c r="DT65" s="27"/>
      <c r="DU65" s="29" t="str">
        <f t="shared" si="114"/>
        <v/>
      </c>
      <c r="DV65" s="27"/>
      <c r="DW65" s="27"/>
      <c r="DX65" s="27"/>
      <c r="DY65" s="29" t="str">
        <f t="shared" si="115"/>
        <v/>
      </c>
      <c r="DZ65" s="27"/>
      <c r="EA65" s="27"/>
      <c r="EB65" s="27"/>
      <c r="EC65" s="29" t="str">
        <f t="shared" si="116"/>
        <v/>
      </c>
      <c r="ED65" s="27"/>
      <c r="EE65" s="27"/>
      <c r="EF65" s="27"/>
      <c r="EG65" s="29" t="str">
        <f t="shared" si="117"/>
        <v/>
      </c>
      <c r="EH65" s="27"/>
      <c r="EI65" s="27"/>
      <c r="EJ65" s="27"/>
      <c r="EK65" s="29" t="str">
        <f t="shared" si="118"/>
        <v/>
      </c>
      <c r="EL65" s="27"/>
      <c r="EM65" s="27"/>
      <c r="EN65" s="27"/>
      <c r="EO65" s="29" t="str">
        <f t="shared" si="119"/>
        <v/>
      </c>
      <c r="EP65" s="27"/>
      <c r="EQ65" s="27"/>
      <c r="ER65" s="27"/>
      <c r="ES65" s="29" t="str">
        <f t="shared" si="120"/>
        <v/>
      </c>
      <c r="ET65" s="27"/>
      <c r="EU65" s="27"/>
      <c r="EV65" s="27"/>
      <c r="EW65" s="29" t="str">
        <f t="shared" si="121"/>
        <v/>
      </c>
      <c r="EX65" s="27"/>
      <c r="EY65" s="27"/>
      <c r="EZ65" s="27"/>
      <c r="FA65" s="29" t="str">
        <f t="shared" si="122"/>
        <v/>
      </c>
      <c r="FB65" s="27"/>
      <c r="FC65" s="27"/>
      <c r="FD65" s="27"/>
      <c r="FE65" s="29" t="str">
        <f t="shared" si="123"/>
        <v/>
      </c>
      <c r="FF65" s="27"/>
      <c r="FG65" s="27"/>
      <c r="FH65" s="27"/>
      <c r="FI65" s="29" t="str">
        <f t="shared" si="124"/>
        <v/>
      </c>
      <c r="FJ65" s="27"/>
      <c r="FK65" s="27"/>
      <c r="FL65" s="27"/>
      <c r="FM65" s="29" t="str">
        <f t="shared" si="125"/>
        <v/>
      </c>
      <c r="FN65" s="27"/>
      <c r="FO65" s="27"/>
      <c r="FP65" s="27"/>
      <c r="FQ65" s="29" t="str">
        <f t="shared" si="126"/>
        <v/>
      </c>
      <c r="FR65" s="27"/>
      <c r="FS65" s="27"/>
      <c r="FT65" s="27"/>
    </row>
    <row r="66" spans="1:176" x14ac:dyDescent="0.2">
      <c r="A66" s="30" t="str">
        <f t="shared" si="82"/>
        <v xml:space="preserve"> </v>
      </c>
      <c r="B66" s="26"/>
      <c r="C66" s="26"/>
      <c r="D66" s="23"/>
      <c r="E66" s="27"/>
      <c r="F66" s="22"/>
      <c r="G66" s="22"/>
      <c r="H66" s="29" t="str">
        <f t="shared" si="83"/>
        <v/>
      </c>
      <c r="I66" s="27"/>
      <c r="J66" s="27"/>
      <c r="K66" s="22"/>
      <c r="L66" s="29" t="str">
        <f t="shared" si="84"/>
        <v/>
      </c>
      <c r="M66" s="27"/>
      <c r="N66" s="27"/>
      <c r="O66" s="22"/>
      <c r="P66" s="29" t="str">
        <f t="shared" si="85"/>
        <v/>
      </c>
      <c r="Q66" s="22"/>
      <c r="R66" s="32" t="str">
        <f t="shared" si="86"/>
        <v/>
      </c>
      <c r="S66" s="24"/>
      <c r="T66" s="22"/>
      <c r="U66" s="31" t="str">
        <f t="shared" si="87"/>
        <v/>
      </c>
      <c r="V66" s="27"/>
      <c r="W66" s="27"/>
      <c r="X66" s="27"/>
      <c r="Y66" s="32" t="str">
        <f t="shared" si="88"/>
        <v/>
      </c>
      <c r="Z66" s="27"/>
      <c r="AA66" s="27"/>
      <c r="AB66" s="27"/>
      <c r="AC66" s="29" t="str">
        <f t="shared" si="89"/>
        <v/>
      </c>
      <c r="AD66" s="27"/>
      <c r="AE66" s="27"/>
      <c r="AF66" s="27"/>
      <c r="AG66" s="29" t="str">
        <f t="shared" si="90"/>
        <v/>
      </c>
      <c r="AH66" s="27"/>
      <c r="AI66" s="27"/>
      <c r="AJ66" s="27"/>
      <c r="AK66" s="29" t="str">
        <f t="shared" si="91"/>
        <v/>
      </c>
      <c r="AL66" s="27"/>
      <c r="AM66" s="27"/>
      <c r="AN66" s="27"/>
      <c r="AO66" s="29" t="str">
        <f t="shared" si="92"/>
        <v/>
      </c>
      <c r="AP66" s="27"/>
      <c r="AQ66" s="27"/>
      <c r="AR66" s="27"/>
      <c r="AS66" s="29" t="str">
        <f t="shared" si="93"/>
        <v/>
      </c>
      <c r="AT66" s="27"/>
      <c r="AU66" s="27"/>
      <c r="AV66" s="27"/>
      <c r="AW66" s="29" t="str">
        <f t="shared" si="94"/>
        <v/>
      </c>
      <c r="AX66" s="24"/>
      <c r="AY66" s="27"/>
      <c r="AZ66" s="27"/>
      <c r="BA66" s="29" t="str">
        <f t="shared" si="95"/>
        <v/>
      </c>
      <c r="BB66" s="27"/>
      <c r="BC66" s="27"/>
      <c r="BD66" s="27"/>
      <c r="BE66" s="29" t="str">
        <f t="shared" si="96"/>
        <v/>
      </c>
      <c r="BF66" s="27"/>
      <c r="BG66" s="27"/>
      <c r="BH66" s="27"/>
      <c r="BI66" s="29" t="str">
        <f t="shared" si="97"/>
        <v/>
      </c>
      <c r="BJ66" s="27"/>
      <c r="BK66" s="27"/>
      <c r="BL66" s="27"/>
      <c r="BM66" s="29" t="str">
        <f t="shared" si="98"/>
        <v/>
      </c>
      <c r="BN66" s="22"/>
      <c r="BO66" s="22"/>
      <c r="BP66" s="27"/>
      <c r="BQ66" s="29" t="str">
        <f t="shared" si="99"/>
        <v/>
      </c>
      <c r="BR66" s="27"/>
      <c r="BS66" s="27"/>
      <c r="BT66" s="27"/>
      <c r="BU66" s="29" t="str">
        <f t="shared" si="100"/>
        <v/>
      </c>
      <c r="BV66" s="27"/>
      <c r="BW66" s="27"/>
      <c r="BX66" s="27"/>
      <c r="BY66" s="29" t="str">
        <f t="shared" si="101"/>
        <v/>
      </c>
      <c r="BZ66" s="27"/>
      <c r="CA66" s="27"/>
      <c r="CB66" s="29" t="str">
        <f t="shared" si="102"/>
        <v/>
      </c>
      <c r="CC66" s="27"/>
      <c r="CD66" s="27"/>
      <c r="CE66" s="29" t="str">
        <f t="shared" si="103"/>
        <v/>
      </c>
      <c r="CF66" s="27"/>
      <c r="CG66" s="27"/>
      <c r="CH66" s="27"/>
      <c r="CI66" s="29" t="str">
        <f t="shared" si="104"/>
        <v/>
      </c>
      <c r="CJ66" s="27"/>
      <c r="CK66" s="27"/>
      <c r="CL66" s="27"/>
      <c r="CM66" s="29" t="str">
        <f t="shared" si="105"/>
        <v/>
      </c>
      <c r="CN66" s="27"/>
      <c r="CO66" s="27"/>
      <c r="CP66" s="27"/>
      <c r="CQ66" s="29" t="str">
        <f t="shared" si="106"/>
        <v/>
      </c>
      <c r="CR66" s="27"/>
      <c r="CS66" s="27"/>
      <c r="CT66" s="29" t="str">
        <f t="shared" si="107"/>
        <v/>
      </c>
      <c r="CU66" s="27"/>
      <c r="CV66" s="27"/>
      <c r="CW66" s="27"/>
      <c r="CX66" s="29" t="str">
        <f t="shared" si="108"/>
        <v/>
      </c>
      <c r="CY66" s="27"/>
      <c r="CZ66" s="27"/>
      <c r="DA66" s="27"/>
      <c r="DB66" s="29" t="str">
        <f t="shared" si="109"/>
        <v/>
      </c>
      <c r="DC66" s="27"/>
      <c r="DD66" s="27"/>
      <c r="DE66" s="29" t="str">
        <f t="shared" si="110"/>
        <v/>
      </c>
      <c r="DF66" s="27"/>
      <c r="DG66" s="27"/>
      <c r="DH66" s="27"/>
      <c r="DI66" s="29" t="str">
        <f t="shared" si="111"/>
        <v/>
      </c>
      <c r="DJ66" s="27"/>
      <c r="DK66" s="27"/>
      <c r="DL66" s="27"/>
      <c r="DM66" s="29" t="str">
        <f t="shared" si="112"/>
        <v/>
      </c>
      <c r="DN66" s="27"/>
      <c r="DO66" s="27"/>
      <c r="DP66" s="27"/>
      <c r="DQ66" s="29" t="str">
        <f t="shared" si="113"/>
        <v/>
      </c>
      <c r="DR66" s="27"/>
      <c r="DS66" s="27"/>
      <c r="DT66" s="27"/>
      <c r="DU66" s="29" t="str">
        <f t="shared" si="114"/>
        <v/>
      </c>
      <c r="DV66" s="27"/>
      <c r="DW66" s="27"/>
      <c r="DX66" s="27"/>
      <c r="DY66" s="29" t="str">
        <f t="shared" si="115"/>
        <v/>
      </c>
      <c r="DZ66" s="27"/>
      <c r="EA66" s="27"/>
      <c r="EB66" s="27"/>
      <c r="EC66" s="29" t="str">
        <f t="shared" si="116"/>
        <v/>
      </c>
      <c r="ED66" s="27"/>
      <c r="EE66" s="27"/>
      <c r="EF66" s="27"/>
      <c r="EG66" s="29" t="str">
        <f t="shared" si="117"/>
        <v/>
      </c>
      <c r="EH66" s="27"/>
      <c r="EI66" s="27"/>
      <c r="EJ66" s="27"/>
      <c r="EK66" s="29" t="str">
        <f t="shared" si="118"/>
        <v/>
      </c>
      <c r="EL66" s="27"/>
      <c r="EM66" s="27"/>
      <c r="EN66" s="27"/>
      <c r="EO66" s="29" t="str">
        <f t="shared" si="119"/>
        <v/>
      </c>
      <c r="EP66" s="27"/>
      <c r="EQ66" s="27"/>
      <c r="ER66" s="27"/>
      <c r="ES66" s="29" t="str">
        <f t="shared" si="120"/>
        <v/>
      </c>
      <c r="ET66" s="27"/>
      <c r="EU66" s="27"/>
      <c r="EV66" s="27"/>
      <c r="EW66" s="29" t="str">
        <f t="shared" si="121"/>
        <v/>
      </c>
      <c r="EX66" s="27"/>
      <c r="EY66" s="27"/>
      <c r="EZ66" s="27"/>
      <c r="FA66" s="29" t="str">
        <f t="shared" si="122"/>
        <v/>
      </c>
      <c r="FB66" s="27"/>
      <c r="FC66" s="27"/>
      <c r="FD66" s="27"/>
      <c r="FE66" s="29" t="str">
        <f t="shared" si="123"/>
        <v/>
      </c>
      <c r="FF66" s="27"/>
      <c r="FG66" s="27"/>
      <c r="FH66" s="27"/>
      <c r="FI66" s="29" t="str">
        <f t="shared" si="124"/>
        <v/>
      </c>
      <c r="FJ66" s="27"/>
      <c r="FK66" s="27"/>
      <c r="FL66" s="27"/>
      <c r="FM66" s="29" t="str">
        <f t="shared" si="125"/>
        <v/>
      </c>
      <c r="FN66" s="27"/>
      <c r="FO66" s="27"/>
      <c r="FP66" s="27"/>
      <c r="FQ66" s="29" t="str">
        <f t="shared" si="126"/>
        <v/>
      </c>
      <c r="FR66" s="27"/>
      <c r="FS66" s="27"/>
      <c r="FT66" s="27"/>
    </row>
    <row r="67" spans="1:176" x14ac:dyDescent="0.2">
      <c r="A67" s="30" t="str">
        <f t="shared" si="82"/>
        <v xml:space="preserve"> </v>
      </c>
      <c r="B67" s="26"/>
      <c r="C67" s="26"/>
      <c r="D67" s="23"/>
      <c r="E67" s="27"/>
      <c r="F67" s="22"/>
      <c r="G67" s="22"/>
      <c r="H67" s="29" t="str">
        <f t="shared" si="83"/>
        <v/>
      </c>
      <c r="I67" s="27"/>
      <c r="J67" s="27"/>
      <c r="K67" s="22"/>
      <c r="L67" s="29" t="str">
        <f t="shared" si="84"/>
        <v/>
      </c>
      <c r="M67" s="27"/>
      <c r="N67" s="27"/>
      <c r="O67" s="22"/>
      <c r="P67" s="29" t="str">
        <f t="shared" si="85"/>
        <v/>
      </c>
      <c r="Q67" s="22"/>
      <c r="R67" s="32" t="str">
        <f t="shared" si="86"/>
        <v/>
      </c>
      <c r="S67" s="24"/>
      <c r="T67" s="22"/>
      <c r="U67" s="31" t="str">
        <f t="shared" si="87"/>
        <v/>
      </c>
      <c r="V67" s="27"/>
      <c r="W67" s="27"/>
      <c r="X67" s="27"/>
      <c r="Y67" s="32" t="str">
        <f t="shared" si="88"/>
        <v/>
      </c>
      <c r="Z67" s="27"/>
      <c r="AA67" s="27"/>
      <c r="AB67" s="27"/>
      <c r="AC67" s="29" t="str">
        <f t="shared" si="89"/>
        <v/>
      </c>
      <c r="AD67" s="27"/>
      <c r="AE67" s="27"/>
      <c r="AF67" s="27"/>
      <c r="AG67" s="29" t="str">
        <f t="shared" si="90"/>
        <v/>
      </c>
      <c r="AH67" s="27"/>
      <c r="AI67" s="27"/>
      <c r="AJ67" s="27"/>
      <c r="AK67" s="29" t="str">
        <f t="shared" si="91"/>
        <v/>
      </c>
      <c r="AL67" s="27"/>
      <c r="AM67" s="27"/>
      <c r="AN67" s="27"/>
      <c r="AO67" s="29" t="str">
        <f t="shared" si="92"/>
        <v/>
      </c>
      <c r="AP67" s="27"/>
      <c r="AQ67" s="27"/>
      <c r="AR67" s="27"/>
      <c r="AS67" s="29" t="str">
        <f t="shared" si="93"/>
        <v/>
      </c>
      <c r="AT67" s="27"/>
      <c r="AU67" s="27"/>
      <c r="AV67" s="27"/>
      <c r="AW67" s="29" t="str">
        <f t="shared" si="94"/>
        <v/>
      </c>
      <c r="AX67" s="24"/>
      <c r="AY67" s="27"/>
      <c r="AZ67" s="27"/>
      <c r="BA67" s="29" t="str">
        <f t="shared" si="95"/>
        <v/>
      </c>
      <c r="BB67" s="27"/>
      <c r="BC67" s="27"/>
      <c r="BD67" s="27"/>
      <c r="BE67" s="29" t="str">
        <f t="shared" si="96"/>
        <v/>
      </c>
      <c r="BF67" s="27"/>
      <c r="BG67" s="27"/>
      <c r="BH67" s="27"/>
      <c r="BI67" s="29" t="str">
        <f t="shared" si="97"/>
        <v/>
      </c>
      <c r="BJ67" s="27"/>
      <c r="BK67" s="27"/>
      <c r="BL67" s="27"/>
      <c r="BM67" s="29" t="str">
        <f t="shared" si="98"/>
        <v/>
      </c>
      <c r="BN67" s="22"/>
      <c r="BO67" s="22"/>
      <c r="BP67" s="27"/>
      <c r="BQ67" s="29" t="str">
        <f t="shared" si="99"/>
        <v/>
      </c>
      <c r="BR67" s="27"/>
      <c r="BS67" s="27"/>
      <c r="BT67" s="27"/>
      <c r="BU67" s="29" t="str">
        <f t="shared" si="100"/>
        <v/>
      </c>
      <c r="BV67" s="27"/>
      <c r="BW67" s="27"/>
      <c r="BX67" s="27"/>
      <c r="BY67" s="29" t="str">
        <f t="shared" si="101"/>
        <v/>
      </c>
      <c r="BZ67" s="27"/>
      <c r="CA67" s="27"/>
      <c r="CB67" s="29" t="str">
        <f t="shared" si="102"/>
        <v/>
      </c>
      <c r="CC67" s="27"/>
      <c r="CD67" s="27"/>
      <c r="CE67" s="29" t="str">
        <f t="shared" si="103"/>
        <v/>
      </c>
      <c r="CF67" s="27"/>
      <c r="CG67" s="27"/>
      <c r="CH67" s="27"/>
      <c r="CI67" s="29" t="str">
        <f t="shared" si="104"/>
        <v/>
      </c>
      <c r="CJ67" s="27"/>
      <c r="CK67" s="27"/>
      <c r="CL67" s="27"/>
      <c r="CM67" s="29" t="str">
        <f t="shared" si="105"/>
        <v/>
      </c>
      <c r="CN67" s="27"/>
      <c r="CO67" s="27"/>
      <c r="CP67" s="27"/>
      <c r="CQ67" s="29" t="str">
        <f t="shared" si="106"/>
        <v/>
      </c>
      <c r="CR67" s="27"/>
      <c r="CS67" s="27"/>
      <c r="CT67" s="29" t="str">
        <f t="shared" si="107"/>
        <v/>
      </c>
      <c r="CU67" s="27"/>
      <c r="CV67" s="27"/>
      <c r="CW67" s="27"/>
      <c r="CX67" s="29" t="str">
        <f t="shared" si="108"/>
        <v/>
      </c>
      <c r="CY67" s="27"/>
      <c r="CZ67" s="27"/>
      <c r="DA67" s="27"/>
      <c r="DB67" s="29" t="str">
        <f t="shared" si="109"/>
        <v/>
      </c>
      <c r="DC67" s="27"/>
      <c r="DD67" s="27"/>
      <c r="DE67" s="29" t="str">
        <f t="shared" si="110"/>
        <v/>
      </c>
      <c r="DF67" s="27"/>
      <c r="DG67" s="27"/>
      <c r="DH67" s="27"/>
      <c r="DI67" s="29" t="str">
        <f t="shared" si="111"/>
        <v/>
      </c>
      <c r="DJ67" s="27"/>
      <c r="DK67" s="27"/>
      <c r="DL67" s="27"/>
      <c r="DM67" s="29" t="str">
        <f t="shared" si="112"/>
        <v/>
      </c>
      <c r="DN67" s="27"/>
      <c r="DO67" s="27"/>
      <c r="DP67" s="27"/>
      <c r="DQ67" s="29" t="str">
        <f t="shared" si="113"/>
        <v/>
      </c>
      <c r="DR67" s="27"/>
      <c r="DS67" s="27"/>
      <c r="DT67" s="27"/>
      <c r="DU67" s="29" t="str">
        <f t="shared" si="114"/>
        <v/>
      </c>
      <c r="DV67" s="27"/>
      <c r="DW67" s="27"/>
      <c r="DX67" s="27"/>
      <c r="DY67" s="29" t="str">
        <f t="shared" si="115"/>
        <v/>
      </c>
      <c r="DZ67" s="27"/>
      <c r="EA67" s="27"/>
      <c r="EB67" s="27"/>
      <c r="EC67" s="29" t="str">
        <f t="shared" si="116"/>
        <v/>
      </c>
      <c r="ED67" s="27"/>
      <c r="EE67" s="27"/>
      <c r="EF67" s="27"/>
      <c r="EG67" s="29" t="str">
        <f t="shared" si="117"/>
        <v/>
      </c>
      <c r="EH67" s="27"/>
      <c r="EI67" s="27"/>
      <c r="EJ67" s="27"/>
      <c r="EK67" s="29" t="str">
        <f t="shared" si="118"/>
        <v/>
      </c>
      <c r="EL67" s="27"/>
      <c r="EM67" s="27"/>
      <c r="EN67" s="27"/>
      <c r="EO67" s="29" t="str">
        <f t="shared" si="119"/>
        <v/>
      </c>
      <c r="EP67" s="27"/>
      <c r="EQ67" s="27"/>
      <c r="ER67" s="27"/>
      <c r="ES67" s="29" t="str">
        <f t="shared" si="120"/>
        <v/>
      </c>
      <c r="ET67" s="27"/>
      <c r="EU67" s="27"/>
      <c r="EV67" s="27"/>
      <c r="EW67" s="29" t="str">
        <f t="shared" si="121"/>
        <v/>
      </c>
      <c r="EX67" s="27"/>
      <c r="EY67" s="27"/>
      <c r="EZ67" s="27"/>
      <c r="FA67" s="29" t="str">
        <f t="shared" si="122"/>
        <v/>
      </c>
      <c r="FB67" s="27"/>
      <c r="FC67" s="27"/>
      <c r="FD67" s="27"/>
      <c r="FE67" s="29" t="str">
        <f t="shared" si="123"/>
        <v/>
      </c>
      <c r="FF67" s="27"/>
      <c r="FG67" s="27"/>
      <c r="FH67" s="27"/>
      <c r="FI67" s="29" t="str">
        <f t="shared" si="124"/>
        <v/>
      </c>
      <c r="FJ67" s="27"/>
      <c r="FK67" s="27"/>
      <c r="FL67" s="27"/>
      <c r="FM67" s="29" t="str">
        <f t="shared" si="125"/>
        <v/>
      </c>
      <c r="FN67" s="27"/>
      <c r="FO67" s="27"/>
      <c r="FP67" s="27"/>
      <c r="FQ67" s="29" t="str">
        <f t="shared" si="126"/>
        <v/>
      </c>
      <c r="FR67" s="27"/>
      <c r="FS67" s="27"/>
      <c r="FT67" s="27"/>
    </row>
    <row r="68" spans="1:176" x14ac:dyDescent="0.2">
      <c r="A68" s="30" t="str">
        <f t="shared" si="82"/>
        <v xml:space="preserve"> </v>
      </c>
      <c r="B68" s="26"/>
      <c r="C68" s="26"/>
      <c r="D68" s="23"/>
      <c r="E68" s="27"/>
      <c r="F68" s="22"/>
      <c r="G68" s="22"/>
      <c r="H68" s="29" t="str">
        <f t="shared" si="83"/>
        <v/>
      </c>
      <c r="I68" s="27"/>
      <c r="J68" s="27"/>
      <c r="K68" s="22"/>
      <c r="L68" s="29" t="str">
        <f t="shared" si="84"/>
        <v/>
      </c>
      <c r="M68" s="27"/>
      <c r="N68" s="27"/>
      <c r="O68" s="22"/>
      <c r="P68" s="29" t="str">
        <f t="shared" si="85"/>
        <v/>
      </c>
      <c r="Q68" s="22"/>
      <c r="R68" s="32" t="str">
        <f t="shared" si="86"/>
        <v/>
      </c>
      <c r="S68" s="24"/>
      <c r="T68" s="22"/>
      <c r="U68" s="31" t="str">
        <f t="shared" si="87"/>
        <v/>
      </c>
      <c r="V68" s="27"/>
      <c r="W68" s="27"/>
      <c r="X68" s="27"/>
      <c r="Y68" s="32" t="str">
        <f t="shared" si="88"/>
        <v/>
      </c>
      <c r="Z68" s="27"/>
      <c r="AA68" s="27"/>
      <c r="AB68" s="27"/>
      <c r="AC68" s="29" t="str">
        <f t="shared" si="89"/>
        <v/>
      </c>
      <c r="AD68" s="27"/>
      <c r="AE68" s="27"/>
      <c r="AF68" s="27"/>
      <c r="AG68" s="29" t="str">
        <f t="shared" si="90"/>
        <v/>
      </c>
      <c r="AH68" s="27"/>
      <c r="AI68" s="27"/>
      <c r="AJ68" s="27"/>
      <c r="AK68" s="29" t="str">
        <f t="shared" si="91"/>
        <v/>
      </c>
      <c r="AL68" s="27"/>
      <c r="AM68" s="27"/>
      <c r="AN68" s="27"/>
      <c r="AO68" s="29" t="str">
        <f t="shared" si="92"/>
        <v/>
      </c>
      <c r="AP68" s="27"/>
      <c r="AQ68" s="27"/>
      <c r="AR68" s="27"/>
      <c r="AS68" s="29" t="str">
        <f t="shared" si="93"/>
        <v/>
      </c>
      <c r="AT68" s="27"/>
      <c r="AU68" s="27"/>
      <c r="AV68" s="27"/>
      <c r="AW68" s="29" t="str">
        <f t="shared" si="94"/>
        <v/>
      </c>
      <c r="AX68" s="24"/>
      <c r="AY68" s="27"/>
      <c r="AZ68" s="27"/>
      <c r="BA68" s="29" t="str">
        <f t="shared" si="95"/>
        <v/>
      </c>
      <c r="BB68" s="27"/>
      <c r="BC68" s="27"/>
      <c r="BD68" s="27"/>
      <c r="BE68" s="29" t="str">
        <f t="shared" si="96"/>
        <v/>
      </c>
      <c r="BF68" s="27"/>
      <c r="BG68" s="27"/>
      <c r="BH68" s="27"/>
      <c r="BI68" s="29" t="str">
        <f t="shared" si="97"/>
        <v/>
      </c>
      <c r="BJ68" s="27"/>
      <c r="BK68" s="27"/>
      <c r="BL68" s="27"/>
      <c r="BM68" s="29" t="str">
        <f t="shared" si="98"/>
        <v/>
      </c>
      <c r="BN68" s="22"/>
      <c r="BO68" s="22"/>
      <c r="BP68" s="27"/>
      <c r="BQ68" s="29" t="str">
        <f t="shared" si="99"/>
        <v/>
      </c>
      <c r="BR68" s="27"/>
      <c r="BS68" s="27"/>
      <c r="BT68" s="27"/>
      <c r="BU68" s="29" t="str">
        <f t="shared" si="100"/>
        <v/>
      </c>
      <c r="BV68" s="27"/>
      <c r="BW68" s="27"/>
      <c r="BX68" s="27"/>
      <c r="BY68" s="29" t="str">
        <f t="shared" si="101"/>
        <v/>
      </c>
      <c r="BZ68" s="27"/>
      <c r="CA68" s="27"/>
      <c r="CB68" s="29" t="str">
        <f t="shared" si="102"/>
        <v/>
      </c>
      <c r="CC68" s="27"/>
      <c r="CD68" s="27"/>
      <c r="CE68" s="29" t="str">
        <f t="shared" si="103"/>
        <v/>
      </c>
      <c r="CF68" s="27"/>
      <c r="CG68" s="27"/>
      <c r="CH68" s="27"/>
      <c r="CI68" s="29" t="str">
        <f t="shared" si="104"/>
        <v/>
      </c>
      <c r="CJ68" s="27"/>
      <c r="CK68" s="27"/>
      <c r="CL68" s="27"/>
      <c r="CM68" s="29" t="str">
        <f t="shared" si="105"/>
        <v/>
      </c>
      <c r="CN68" s="27"/>
      <c r="CO68" s="27"/>
      <c r="CP68" s="27"/>
      <c r="CQ68" s="29" t="str">
        <f t="shared" si="106"/>
        <v/>
      </c>
      <c r="CR68" s="27"/>
      <c r="CS68" s="27"/>
      <c r="CT68" s="29" t="str">
        <f t="shared" si="107"/>
        <v/>
      </c>
      <c r="CU68" s="27"/>
      <c r="CV68" s="27"/>
      <c r="CW68" s="27"/>
      <c r="CX68" s="29" t="str">
        <f t="shared" si="108"/>
        <v/>
      </c>
      <c r="CY68" s="27"/>
      <c r="CZ68" s="27"/>
      <c r="DA68" s="27"/>
      <c r="DB68" s="29" t="str">
        <f t="shared" si="109"/>
        <v/>
      </c>
      <c r="DC68" s="27"/>
      <c r="DD68" s="27"/>
      <c r="DE68" s="29" t="str">
        <f t="shared" si="110"/>
        <v/>
      </c>
      <c r="DF68" s="27"/>
      <c r="DG68" s="27"/>
      <c r="DH68" s="27"/>
      <c r="DI68" s="29" t="str">
        <f t="shared" si="111"/>
        <v/>
      </c>
      <c r="DJ68" s="27"/>
      <c r="DK68" s="27"/>
      <c r="DL68" s="27"/>
      <c r="DM68" s="29" t="str">
        <f t="shared" si="112"/>
        <v/>
      </c>
      <c r="DN68" s="27"/>
      <c r="DO68" s="27"/>
      <c r="DP68" s="27"/>
      <c r="DQ68" s="29" t="str">
        <f t="shared" si="113"/>
        <v/>
      </c>
      <c r="DR68" s="27"/>
      <c r="DS68" s="27"/>
      <c r="DT68" s="27"/>
      <c r="DU68" s="29" t="str">
        <f t="shared" si="114"/>
        <v/>
      </c>
      <c r="DV68" s="27"/>
      <c r="DW68" s="27"/>
      <c r="DX68" s="27"/>
      <c r="DY68" s="29" t="str">
        <f t="shared" si="115"/>
        <v/>
      </c>
      <c r="DZ68" s="27"/>
      <c r="EA68" s="27"/>
      <c r="EB68" s="27"/>
      <c r="EC68" s="29" t="str">
        <f t="shared" si="116"/>
        <v/>
      </c>
      <c r="ED68" s="27"/>
      <c r="EE68" s="27"/>
      <c r="EF68" s="27"/>
      <c r="EG68" s="29" t="str">
        <f t="shared" si="117"/>
        <v/>
      </c>
      <c r="EH68" s="27"/>
      <c r="EI68" s="27"/>
      <c r="EJ68" s="27"/>
      <c r="EK68" s="29" t="str">
        <f t="shared" si="118"/>
        <v/>
      </c>
      <c r="EL68" s="27"/>
      <c r="EM68" s="27"/>
      <c r="EN68" s="27"/>
      <c r="EO68" s="29" t="str">
        <f t="shared" si="119"/>
        <v/>
      </c>
      <c r="EP68" s="27"/>
      <c r="EQ68" s="27"/>
      <c r="ER68" s="27"/>
      <c r="ES68" s="29" t="str">
        <f t="shared" si="120"/>
        <v/>
      </c>
      <c r="ET68" s="27"/>
      <c r="EU68" s="27"/>
      <c r="EV68" s="27"/>
      <c r="EW68" s="29" t="str">
        <f t="shared" si="121"/>
        <v/>
      </c>
      <c r="EX68" s="27"/>
      <c r="EY68" s="27"/>
      <c r="EZ68" s="27"/>
      <c r="FA68" s="29" t="str">
        <f t="shared" si="122"/>
        <v/>
      </c>
      <c r="FB68" s="27"/>
      <c r="FC68" s="27"/>
      <c r="FD68" s="27"/>
      <c r="FE68" s="29" t="str">
        <f t="shared" si="123"/>
        <v/>
      </c>
      <c r="FF68" s="27"/>
      <c r="FG68" s="27"/>
      <c r="FH68" s="27"/>
      <c r="FI68" s="29" t="str">
        <f t="shared" si="124"/>
        <v/>
      </c>
      <c r="FJ68" s="27"/>
      <c r="FK68" s="27"/>
      <c r="FL68" s="27"/>
      <c r="FM68" s="29" t="str">
        <f t="shared" si="125"/>
        <v/>
      </c>
      <c r="FN68" s="27"/>
      <c r="FO68" s="27"/>
      <c r="FP68" s="27"/>
      <c r="FQ68" s="29" t="str">
        <f t="shared" si="126"/>
        <v/>
      </c>
      <c r="FR68" s="27"/>
      <c r="FS68" s="27"/>
      <c r="FT68" s="27"/>
    </row>
    <row r="69" spans="1:176" x14ac:dyDescent="0.2">
      <c r="A69" s="30" t="str">
        <f t="shared" si="82"/>
        <v xml:space="preserve"> </v>
      </c>
      <c r="B69" s="26"/>
      <c r="C69" s="26"/>
      <c r="D69" s="23"/>
      <c r="E69" s="27"/>
      <c r="F69" s="22"/>
      <c r="G69" s="22"/>
      <c r="H69" s="29" t="str">
        <f t="shared" si="83"/>
        <v/>
      </c>
      <c r="I69" s="27"/>
      <c r="J69" s="27"/>
      <c r="K69" s="22"/>
      <c r="L69" s="29" t="str">
        <f t="shared" si="84"/>
        <v/>
      </c>
      <c r="M69" s="27"/>
      <c r="N69" s="27"/>
      <c r="O69" s="22"/>
      <c r="P69" s="29" t="str">
        <f t="shared" si="85"/>
        <v/>
      </c>
      <c r="Q69" s="22"/>
      <c r="R69" s="32" t="str">
        <f t="shared" si="86"/>
        <v/>
      </c>
      <c r="S69" s="24"/>
      <c r="T69" s="22"/>
      <c r="U69" s="31" t="str">
        <f t="shared" si="87"/>
        <v/>
      </c>
      <c r="V69" s="27"/>
      <c r="W69" s="27"/>
      <c r="X69" s="27"/>
      <c r="Y69" s="32" t="str">
        <f t="shared" si="88"/>
        <v/>
      </c>
      <c r="Z69" s="27"/>
      <c r="AA69" s="27"/>
      <c r="AB69" s="27"/>
      <c r="AC69" s="29" t="str">
        <f t="shared" si="89"/>
        <v/>
      </c>
      <c r="AD69" s="27"/>
      <c r="AE69" s="27"/>
      <c r="AF69" s="27"/>
      <c r="AG69" s="29" t="str">
        <f t="shared" si="90"/>
        <v/>
      </c>
      <c r="AH69" s="27"/>
      <c r="AI69" s="27"/>
      <c r="AJ69" s="27"/>
      <c r="AK69" s="29" t="str">
        <f t="shared" si="91"/>
        <v/>
      </c>
      <c r="AL69" s="27"/>
      <c r="AM69" s="27"/>
      <c r="AN69" s="27"/>
      <c r="AO69" s="29" t="str">
        <f t="shared" si="92"/>
        <v/>
      </c>
      <c r="AP69" s="27"/>
      <c r="AQ69" s="27"/>
      <c r="AR69" s="27"/>
      <c r="AS69" s="29" t="str">
        <f t="shared" si="93"/>
        <v/>
      </c>
      <c r="AT69" s="27"/>
      <c r="AU69" s="27"/>
      <c r="AV69" s="27"/>
      <c r="AW69" s="29" t="str">
        <f t="shared" si="94"/>
        <v/>
      </c>
      <c r="AX69" s="24"/>
      <c r="AY69" s="27"/>
      <c r="AZ69" s="27"/>
      <c r="BA69" s="29" t="str">
        <f t="shared" si="95"/>
        <v/>
      </c>
      <c r="BB69" s="27"/>
      <c r="BC69" s="27"/>
      <c r="BD69" s="27"/>
      <c r="BE69" s="29" t="str">
        <f t="shared" si="96"/>
        <v/>
      </c>
      <c r="BF69" s="27"/>
      <c r="BG69" s="27"/>
      <c r="BH69" s="27"/>
      <c r="BI69" s="29" t="str">
        <f t="shared" si="97"/>
        <v/>
      </c>
      <c r="BJ69" s="27"/>
      <c r="BK69" s="27"/>
      <c r="BL69" s="27"/>
      <c r="BM69" s="29" t="str">
        <f t="shared" si="98"/>
        <v/>
      </c>
      <c r="BN69" s="22"/>
      <c r="BO69" s="22"/>
      <c r="BP69" s="27"/>
      <c r="BQ69" s="29" t="str">
        <f t="shared" si="99"/>
        <v/>
      </c>
      <c r="BR69" s="27"/>
      <c r="BS69" s="27"/>
      <c r="BT69" s="27"/>
      <c r="BU69" s="29" t="str">
        <f t="shared" si="100"/>
        <v/>
      </c>
      <c r="BV69" s="27"/>
      <c r="BW69" s="27"/>
      <c r="BX69" s="27"/>
      <c r="BY69" s="29" t="str">
        <f t="shared" si="101"/>
        <v/>
      </c>
      <c r="BZ69" s="27"/>
      <c r="CA69" s="27"/>
      <c r="CB69" s="29" t="str">
        <f t="shared" si="102"/>
        <v/>
      </c>
      <c r="CC69" s="27"/>
      <c r="CD69" s="27"/>
      <c r="CE69" s="29" t="str">
        <f t="shared" si="103"/>
        <v/>
      </c>
      <c r="CF69" s="27"/>
      <c r="CG69" s="27"/>
      <c r="CH69" s="27"/>
      <c r="CI69" s="29" t="str">
        <f t="shared" si="104"/>
        <v/>
      </c>
      <c r="CJ69" s="27"/>
      <c r="CK69" s="27"/>
      <c r="CL69" s="27"/>
      <c r="CM69" s="29" t="str">
        <f t="shared" si="105"/>
        <v/>
      </c>
      <c r="CN69" s="27"/>
      <c r="CO69" s="27"/>
      <c r="CP69" s="27"/>
      <c r="CQ69" s="29" t="str">
        <f t="shared" si="106"/>
        <v/>
      </c>
      <c r="CR69" s="27"/>
      <c r="CS69" s="27"/>
      <c r="CT69" s="29" t="str">
        <f t="shared" si="107"/>
        <v/>
      </c>
      <c r="CU69" s="27"/>
      <c r="CV69" s="27"/>
      <c r="CW69" s="27"/>
      <c r="CX69" s="29" t="str">
        <f t="shared" si="108"/>
        <v/>
      </c>
      <c r="CY69" s="27"/>
      <c r="CZ69" s="27"/>
      <c r="DA69" s="27"/>
      <c r="DB69" s="29" t="str">
        <f t="shared" si="109"/>
        <v/>
      </c>
      <c r="DC69" s="27"/>
      <c r="DD69" s="27"/>
      <c r="DE69" s="29" t="str">
        <f t="shared" si="110"/>
        <v/>
      </c>
      <c r="DF69" s="27"/>
      <c r="DG69" s="27"/>
      <c r="DH69" s="27"/>
      <c r="DI69" s="29" t="str">
        <f t="shared" si="111"/>
        <v/>
      </c>
      <c r="DJ69" s="27"/>
      <c r="DK69" s="27"/>
      <c r="DL69" s="27"/>
      <c r="DM69" s="29" t="str">
        <f t="shared" si="112"/>
        <v/>
      </c>
      <c r="DN69" s="27"/>
      <c r="DO69" s="27"/>
      <c r="DP69" s="27"/>
      <c r="DQ69" s="29" t="str">
        <f t="shared" si="113"/>
        <v/>
      </c>
      <c r="DR69" s="27"/>
      <c r="DS69" s="27"/>
      <c r="DT69" s="27"/>
      <c r="DU69" s="29" t="str">
        <f t="shared" si="114"/>
        <v/>
      </c>
      <c r="DV69" s="27"/>
      <c r="DW69" s="27"/>
      <c r="DX69" s="27"/>
      <c r="DY69" s="29" t="str">
        <f t="shared" si="115"/>
        <v/>
      </c>
      <c r="DZ69" s="27"/>
      <c r="EA69" s="27"/>
      <c r="EB69" s="27"/>
      <c r="EC69" s="29" t="str">
        <f t="shared" si="116"/>
        <v/>
      </c>
      <c r="ED69" s="27"/>
      <c r="EE69" s="27"/>
      <c r="EF69" s="27"/>
      <c r="EG69" s="29" t="str">
        <f t="shared" si="117"/>
        <v/>
      </c>
      <c r="EH69" s="27"/>
      <c r="EI69" s="27"/>
      <c r="EJ69" s="27"/>
      <c r="EK69" s="29" t="str">
        <f t="shared" si="118"/>
        <v/>
      </c>
      <c r="EL69" s="27"/>
      <c r="EM69" s="27"/>
      <c r="EN69" s="27"/>
      <c r="EO69" s="29" t="str">
        <f t="shared" si="119"/>
        <v/>
      </c>
      <c r="EP69" s="27"/>
      <c r="EQ69" s="27"/>
      <c r="ER69" s="27"/>
      <c r="ES69" s="29" t="str">
        <f t="shared" si="120"/>
        <v/>
      </c>
      <c r="ET69" s="27"/>
      <c r="EU69" s="27"/>
      <c r="EV69" s="27"/>
      <c r="EW69" s="29" t="str">
        <f t="shared" si="121"/>
        <v/>
      </c>
      <c r="EX69" s="27"/>
      <c r="EY69" s="27"/>
      <c r="EZ69" s="27"/>
      <c r="FA69" s="29" t="str">
        <f t="shared" si="122"/>
        <v/>
      </c>
      <c r="FB69" s="27"/>
      <c r="FC69" s="27"/>
      <c r="FD69" s="27"/>
      <c r="FE69" s="29" t="str">
        <f t="shared" si="123"/>
        <v/>
      </c>
      <c r="FF69" s="27"/>
      <c r="FG69" s="27"/>
      <c r="FH69" s="27"/>
      <c r="FI69" s="29" t="str">
        <f t="shared" si="124"/>
        <v/>
      </c>
      <c r="FJ69" s="27"/>
      <c r="FK69" s="27"/>
      <c r="FL69" s="27"/>
      <c r="FM69" s="29" t="str">
        <f t="shared" si="125"/>
        <v/>
      </c>
      <c r="FN69" s="27"/>
      <c r="FO69" s="27"/>
      <c r="FP69" s="27"/>
      <c r="FQ69" s="29" t="str">
        <f t="shared" si="126"/>
        <v/>
      </c>
      <c r="FR69" s="27"/>
      <c r="FS69" s="27"/>
      <c r="FT69" s="27"/>
    </row>
    <row r="70" spans="1:176" x14ac:dyDescent="0.2">
      <c r="A70" s="30" t="str">
        <f t="shared" si="82"/>
        <v xml:space="preserve"> </v>
      </c>
      <c r="B70" s="26"/>
      <c r="C70" s="26"/>
      <c r="D70" s="23"/>
      <c r="E70" s="27"/>
      <c r="F70" s="22"/>
      <c r="G70" s="22"/>
      <c r="H70" s="29" t="str">
        <f t="shared" si="83"/>
        <v/>
      </c>
      <c r="I70" s="27"/>
      <c r="J70" s="27"/>
      <c r="K70" s="22"/>
      <c r="L70" s="29" t="str">
        <f t="shared" si="84"/>
        <v/>
      </c>
      <c r="M70" s="27"/>
      <c r="N70" s="27"/>
      <c r="O70" s="22"/>
      <c r="P70" s="29" t="str">
        <f t="shared" si="85"/>
        <v/>
      </c>
      <c r="Q70" s="22"/>
      <c r="R70" s="32" t="str">
        <f t="shared" si="86"/>
        <v/>
      </c>
      <c r="S70" s="24"/>
      <c r="T70" s="22"/>
      <c r="U70" s="31" t="str">
        <f t="shared" si="87"/>
        <v/>
      </c>
      <c r="V70" s="27"/>
      <c r="W70" s="27"/>
      <c r="X70" s="27"/>
      <c r="Y70" s="32" t="str">
        <f t="shared" si="88"/>
        <v/>
      </c>
      <c r="Z70" s="27"/>
      <c r="AA70" s="27"/>
      <c r="AB70" s="27"/>
      <c r="AC70" s="29" t="str">
        <f t="shared" si="89"/>
        <v/>
      </c>
      <c r="AD70" s="27"/>
      <c r="AE70" s="27"/>
      <c r="AF70" s="27"/>
      <c r="AG70" s="29" t="str">
        <f t="shared" si="90"/>
        <v/>
      </c>
      <c r="AH70" s="27"/>
      <c r="AI70" s="27"/>
      <c r="AJ70" s="27"/>
      <c r="AK70" s="29" t="str">
        <f t="shared" si="91"/>
        <v/>
      </c>
      <c r="AL70" s="27"/>
      <c r="AM70" s="27"/>
      <c r="AN70" s="27"/>
      <c r="AO70" s="29" t="str">
        <f t="shared" si="92"/>
        <v/>
      </c>
      <c r="AP70" s="27"/>
      <c r="AQ70" s="27"/>
      <c r="AR70" s="27"/>
      <c r="AS70" s="29" t="str">
        <f t="shared" si="93"/>
        <v/>
      </c>
      <c r="AT70" s="27"/>
      <c r="AU70" s="27"/>
      <c r="AV70" s="27"/>
      <c r="AW70" s="29" t="str">
        <f t="shared" si="94"/>
        <v/>
      </c>
      <c r="AX70" s="24"/>
      <c r="AY70" s="27"/>
      <c r="AZ70" s="27"/>
      <c r="BA70" s="29" t="str">
        <f t="shared" si="95"/>
        <v/>
      </c>
      <c r="BB70" s="27"/>
      <c r="BC70" s="27"/>
      <c r="BD70" s="27"/>
      <c r="BE70" s="29" t="str">
        <f t="shared" si="96"/>
        <v/>
      </c>
      <c r="BF70" s="27"/>
      <c r="BG70" s="27"/>
      <c r="BH70" s="27"/>
      <c r="BI70" s="29" t="str">
        <f t="shared" si="97"/>
        <v/>
      </c>
      <c r="BJ70" s="27"/>
      <c r="BK70" s="27"/>
      <c r="BL70" s="27"/>
      <c r="BM70" s="29" t="str">
        <f t="shared" si="98"/>
        <v/>
      </c>
      <c r="BN70" s="22"/>
      <c r="BO70" s="22"/>
      <c r="BP70" s="27"/>
      <c r="BQ70" s="29" t="str">
        <f t="shared" si="99"/>
        <v/>
      </c>
      <c r="BR70" s="27"/>
      <c r="BS70" s="27"/>
      <c r="BT70" s="27"/>
      <c r="BU70" s="29" t="str">
        <f t="shared" si="100"/>
        <v/>
      </c>
      <c r="BV70" s="27"/>
      <c r="BW70" s="27"/>
      <c r="BX70" s="27"/>
      <c r="BY70" s="29" t="str">
        <f t="shared" si="101"/>
        <v/>
      </c>
      <c r="BZ70" s="27"/>
      <c r="CA70" s="27"/>
      <c r="CB70" s="29" t="str">
        <f t="shared" si="102"/>
        <v/>
      </c>
      <c r="CC70" s="27"/>
      <c r="CD70" s="27"/>
      <c r="CE70" s="29" t="str">
        <f t="shared" si="103"/>
        <v/>
      </c>
      <c r="CF70" s="27"/>
      <c r="CG70" s="27"/>
      <c r="CH70" s="27"/>
      <c r="CI70" s="29" t="str">
        <f t="shared" si="104"/>
        <v/>
      </c>
      <c r="CJ70" s="27"/>
      <c r="CK70" s="27"/>
      <c r="CL70" s="27"/>
      <c r="CM70" s="29" t="str">
        <f t="shared" si="105"/>
        <v/>
      </c>
      <c r="CN70" s="27"/>
      <c r="CO70" s="27"/>
      <c r="CP70" s="27"/>
      <c r="CQ70" s="29" t="str">
        <f t="shared" si="106"/>
        <v/>
      </c>
      <c r="CR70" s="27"/>
      <c r="CS70" s="27"/>
      <c r="CT70" s="29" t="str">
        <f t="shared" si="107"/>
        <v/>
      </c>
      <c r="CU70" s="27"/>
      <c r="CV70" s="27"/>
      <c r="CW70" s="27"/>
      <c r="CX70" s="29" t="str">
        <f t="shared" si="108"/>
        <v/>
      </c>
      <c r="CY70" s="27"/>
      <c r="CZ70" s="27"/>
      <c r="DA70" s="27"/>
      <c r="DB70" s="29" t="str">
        <f t="shared" si="109"/>
        <v/>
      </c>
      <c r="DC70" s="27"/>
      <c r="DD70" s="27"/>
      <c r="DE70" s="29" t="str">
        <f t="shared" si="110"/>
        <v/>
      </c>
      <c r="DF70" s="27"/>
      <c r="DG70" s="27"/>
      <c r="DH70" s="27"/>
      <c r="DI70" s="29" t="str">
        <f t="shared" si="111"/>
        <v/>
      </c>
      <c r="DJ70" s="27"/>
      <c r="DK70" s="27"/>
      <c r="DL70" s="27"/>
      <c r="DM70" s="29" t="str">
        <f t="shared" si="112"/>
        <v/>
      </c>
      <c r="DN70" s="27"/>
      <c r="DO70" s="27"/>
      <c r="DP70" s="27"/>
      <c r="DQ70" s="29" t="str">
        <f t="shared" si="113"/>
        <v/>
      </c>
      <c r="DR70" s="27"/>
      <c r="DS70" s="27"/>
      <c r="DT70" s="27"/>
      <c r="DU70" s="29" t="str">
        <f t="shared" si="114"/>
        <v/>
      </c>
      <c r="DV70" s="27"/>
      <c r="DW70" s="27"/>
      <c r="DX70" s="27"/>
      <c r="DY70" s="29" t="str">
        <f t="shared" si="115"/>
        <v/>
      </c>
      <c r="DZ70" s="27"/>
      <c r="EA70" s="27"/>
      <c r="EB70" s="27"/>
      <c r="EC70" s="29" t="str">
        <f t="shared" si="116"/>
        <v/>
      </c>
      <c r="ED70" s="27"/>
      <c r="EE70" s="27"/>
      <c r="EF70" s="27"/>
      <c r="EG70" s="29" t="str">
        <f t="shared" si="117"/>
        <v/>
      </c>
      <c r="EH70" s="27"/>
      <c r="EI70" s="27"/>
      <c r="EJ70" s="27"/>
      <c r="EK70" s="29" t="str">
        <f t="shared" si="118"/>
        <v/>
      </c>
      <c r="EL70" s="27"/>
      <c r="EM70" s="27"/>
      <c r="EN70" s="27"/>
      <c r="EO70" s="29" t="str">
        <f t="shared" si="119"/>
        <v/>
      </c>
      <c r="EP70" s="27"/>
      <c r="EQ70" s="27"/>
      <c r="ER70" s="27"/>
      <c r="ES70" s="29" t="str">
        <f t="shared" si="120"/>
        <v/>
      </c>
      <c r="ET70" s="27"/>
      <c r="EU70" s="27"/>
      <c r="EV70" s="27"/>
      <c r="EW70" s="29" t="str">
        <f t="shared" si="121"/>
        <v/>
      </c>
      <c r="EX70" s="27"/>
      <c r="EY70" s="27"/>
      <c r="EZ70" s="27"/>
      <c r="FA70" s="29" t="str">
        <f t="shared" si="122"/>
        <v/>
      </c>
      <c r="FB70" s="27"/>
      <c r="FC70" s="27"/>
      <c r="FD70" s="27"/>
      <c r="FE70" s="29" t="str">
        <f t="shared" si="123"/>
        <v/>
      </c>
      <c r="FF70" s="27"/>
      <c r="FG70" s="27"/>
      <c r="FH70" s="27"/>
      <c r="FI70" s="29" t="str">
        <f t="shared" si="124"/>
        <v/>
      </c>
      <c r="FJ70" s="27"/>
      <c r="FK70" s="27"/>
      <c r="FL70" s="27"/>
      <c r="FM70" s="29" t="str">
        <f t="shared" si="125"/>
        <v/>
      </c>
      <c r="FN70" s="27"/>
      <c r="FO70" s="27"/>
      <c r="FP70" s="27"/>
      <c r="FQ70" s="29" t="str">
        <f t="shared" si="126"/>
        <v/>
      </c>
      <c r="FR70" s="27"/>
      <c r="FS70" s="27"/>
      <c r="FT70" s="27"/>
    </row>
    <row r="71" spans="1:176" x14ac:dyDescent="0.2">
      <c r="A71" s="30" t="str">
        <f t="shared" si="82"/>
        <v xml:space="preserve"> </v>
      </c>
      <c r="B71" s="26"/>
      <c r="C71" s="26"/>
      <c r="D71" s="23"/>
      <c r="E71" s="27"/>
      <c r="F71" s="22"/>
      <c r="G71" s="22"/>
      <c r="H71" s="29" t="str">
        <f t="shared" si="83"/>
        <v/>
      </c>
      <c r="I71" s="27"/>
      <c r="J71" s="27"/>
      <c r="K71" s="22"/>
      <c r="L71" s="29" t="str">
        <f t="shared" si="84"/>
        <v/>
      </c>
      <c r="M71" s="27"/>
      <c r="N71" s="27"/>
      <c r="O71" s="22"/>
      <c r="P71" s="29" t="str">
        <f t="shared" si="85"/>
        <v/>
      </c>
      <c r="Q71" s="22"/>
      <c r="R71" s="32" t="str">
        <f t="shared" si="86"/>
        <v/>
      </c>
      <c r="S71" s="24"/>
      <c r="T71" s="22"/>
      <c r="U71" s="31" t="str">
        <f t="shared" si="87"/>
        <v/>
      </c>
      <c r="V71" s="27"/>
      <c r="W71" s="27"/>
      <c r="X71" s="27"/>
      <c r="Y71" s="32" t="str">
        <f t="shared" si="88"/>
        <v/>
      </c>
      <c r="Z71" s="27"/>
      <c r="AA71" s="27"/>
      <c r="AB71" s="27"/>
      <c r="AC71" s="29" t="str">
        <f t="shared" si="89"/>
        <v/>
      </c>
      <c r="AD71" s="27"/>
      <c r="AE71" s="27"/>
      <c r="AF71" s="27"/>
      <c r="AG71" s="29" t="str">
        <f t="shared" si="90"/>
        <v/>
      </c>
      <c r="AH71" s="27"/>
      <c r="AI71" s="27"/>
      <c r="AJ71" s="27"/>
      <c r="AK71" s="29" t="str">
        <f t="shared" si="91"/>
        <v/>
      </c>
      <c r="AL71" s="27"/>
      <c r="AM71" s="27"/>
      <c r="AN71" s="27"/>
      <c r="AO71" s="29" t="str">
        <f t="shared" si="92"/>
        <v/>
      </c>
      <c r="AP71" s="27"/>
      <c r="AQ71" s="27"/>
      <c r="AR71" s="27"/>
      <c r="AS71" s="29" t="str">
        <f t="shared" si="93"/>
        <v/>
      </c>
      <c r="AT71" s="27"/>
      <c r="AU71" s="27"/>
      <c r="AV71" s="27"/>
      <c r="AW71" s="29" t="str">
        <f t="shared" si="94"/>
        <v/>
      </c>
      <c r="AX71" s="24"/>
      <c r="AY71" s="27"/>
      <c r="AZ71" s="27"/>
      <c r="BA71" s="29" t="str">
        <f t="shared" si="95"/>
        <v/>
      </c>
      <c r="BB71" s="27"/>
      <c r="BC71" s="27"/>
      <c r="BD71" s="27"/>
      <c r="BE71" s="29" t="str">
        <f t="shared" si="96"/>
        <v/>
      </c>
      <c r="BF71" s="27"/>
      <c r="BG71" s="27"/>
      <c r="BH71" s="27"/>
      <c r="BI71" s="29" t="str">
        <f t="shared" si="97"/>
        <v/>
      </c>
      <c r="BJ71" s="27"/>
      <c r="BK71" s="27"/>
      <c r="BL71" s="27"/>
      <c r="BM71" s="29" t="str">
        <f t="shared" si="98"/>
        <v/>
      </c>
      <c r="BN71" s="22"/>
      <c r="BO71" s="22"/>
      <c r="BP71" s="27"/>
      <c r="BQ71" s="29" t="str">
        <f t="shared" si="99"/>
        <v/>
      </c>
      <c r="BR71" s="27"/>
      <c r="BS71" s="27"/>
      <c r="BT71" s="27"/>
      <c r="BU71" s="29" t="str">
        <f t="shared" si="100"/>
        <v/>
      </c>
      <c r="BV71" s="27"/>
      <c r="BW71" s="27"/>
      <c r="BX71" s="27"/>
      <c r="BY71" s="29" t="str">
        <f t="shared" si="101"/>
        <v/>
      </c>
      <c r="BZ71" s="27"/>
      <c r="CA71" s="27"/>
      <c r="CB71" s="29" t="str">
        <f t="shared" si="102"/>
        <v/>
      </c>
      <c r="CC71" s="27"/>
      <c r="CD71" s="27"/>
      <c r="CE71" s="29" t="str">
        <f t="shared" si="103"/>
        <v/>
      </c>
      <c r="CF71" s="27"/>
      <c r="CG71" s="27"/>
      <c r="CH71" s="27"/>
      <c r="CI71" s="29" t="str">
        <f t="shared" si="104"/>
        <v/>
      </c>
      <c r="CJ71" s="27"/>
      <c r="CK71" s="27"/>
      <c r="CL71" s="27"/>
      <c r="CM71" s="29" t="str">
        <f t="shared" si="105"/>
        <v/>
      </c>
      <c r="CN71" s="27"/>
      <c r="CO71" s="27"/>
      <c r="CP71" s="27"/>
      <c r="CQ71" s="29" t="str">
        <f t="shared" si="106"/>
        <v/>
      </c>
      <c r="CR71" s="27"/>
      <c r="CS71" s="27"/>
      <c r="CT71" s="29" t="str">
        <f t="shared" si="107"/>
        <v/>
      </c>
      <c r="CU71" s="27"/>
      <c r="CV71" s="27"/>
      <c r="CW71" s="27"/>
      <c r="CX71" s="29" t="str">
        <f t="shared" si="108"/>
        <v/>
      </c>
      <c r="CY71" s="27"/>
      <c r="CZ71" s="27"/>
      <c r="DA71" s="27"/>
      <c r="DB71" s="29" t="str">
        <f t="shared" si="109"/>
        <v/>
      </c>
      <c r="DC71" s="27"/>
      <c r="DD71" s="27"/>
      <c r="DE71" s="29" t="str">
        <f t="shared" si="110"/>
        <v/>
      </c>
      <c r="DF71" s="27"/>
      <c r="DG71" s="27"/>
      <c r="DH71" s="27"/>
      <c r="DI71" s="29" t="str">
        <f t="shared" si="111"/>
        <v/>
      </c>
      <c r="DJ71" s="27"/>
      <c r="DK71" s="27"/>
      <c r="DL71" s="27"/>
      <c r="DM71" s="29" t="str">
        <f t="shared" si="112"/>
        <v/>
      </c>
      <c r="DN71" s="27"/>
      <c r="DO71" s="27"/>
      <c r="DP71" s="27"/>
      <c r="DQ71" s="29" t="str">
        <f t="shared" si="113"/>
        <v/>
      </c>
      <c r="DR71" s="27"/>
      <c r="DS71" s="27"/>
      <c r="DT71" s="27"/>
      <c r="DU71" s="29" t="str">
        <f t="shared" si="114"/>
        <v/>
      </c>
      <c r="DV71" s="27"/>
      <c r="DW71" s="27"/>
      <c r="DX71" s="27"/>
      <c r="DY71" s="29" t="str">
        <f t="shared" si="115"/>
        <v/>
      </c>
      <c r="DZ71" s="27"/>
      <c r="EA71" s="27"/>
      <c r="EB71" s="27"/>
      <c r="EC71" s="29" t="str">
        <f t="shared" si="116"/>
        <v/>
      </c>
      <c r="ED71" s="27"/>
      <c r="EE71" s="27"/>
      <c r="EF71" s="27"/>
      <c r="EG71" s="29" t="str">
        <f t="shared" si="117"/>
        <v/>
      </c>
      <c r="EH71" s="27"/>
      <c r="EI71" s="27"/>
      <c r="EJ71" s="27"/>
      <c r="EK71" s="29" t="str">
        <f t="shared" si="118"/>
        <v/>
      </c>
      <c r="EL71" s="27"/>
      <c r="EM71" s="27"/>
      <c r="EN71" s="27"/>
      <c r="EO71" s="29" t="str">
        <f t="shared" si="119"/>
        <v/>
      </c>
      <c r="EP71" s="27"/>
      <c r="EQ71" s="27"/>
      <c r="ER71" s="27"/>
      <c r="ES71" s="29" t="str">
        <f t="shared" si="120"/>
        <v/>
      </c>
      <c r="ET71" s="27"/>
      <c r="EU71" s="27"/>
      <c r="EV71" s="27"/>
      <c r="EW71" s="29" t="str">
        <f t="shared" si="121"/>
        <v/>
      </c>
      <c r="EX71" s="27"/>
      <c r="EY71" s="27"/>
      <c r="EZ71" s="27"/>
      <c r="FA71" s="29" t="str">
        <f t="shared" si="122"/>
        <v/>
      </c>
      <c r="FB71" s="27"/>
      <c r="FC71" s="27"/>
      <c r="FD71" s="27"/>
      <c r="FE71" s="29" t="str">
        <f t="shared" si="123"/>
        <v/>
      </c>
      <c r="FF71" s="27"/>
      <c r="FG71" s="27"/>
      <c r="FH71" s="27"/>
      <c r="FI71" s="29" t="str">
        <f t="shared" si="124"/>
        <v/>
      </c>
      <c r="FJ71" s="27"/>
      <c r="FK71" s="27"/>
      <c r="FL71" s="27"/>
      <c r="FM71" s="29" t="str">
        <f t="shared" si="125"/>
        <v/>
      </c>
      <c r="FN71" s="27"/>
      <c r="FO71" s="27"/>
      <c r="FP71" s="27"/>
      <c r="FQ71" s="29" t="str">
        <f t="shared" si="126"/>
        <v/>
      </c>
      <c r="FR71" s="27"/>
      <c r="FS71" s="27"/>
      <c r="FT71" s="27"/>
    </row>
    <row r="72" spans="1:176" x14ac:dyDescent="0.2">
      <c r="A72" s="30" t="str">
        <f t="shared" si="82"/>
        <v xml:space="preserve"> </v>
      </c>
      <c r="B72" s="26"/>
      <c r="C72" s="26"/>
      <c r="D72" s="23"/>
      <c r="E72" s="27"/>
      <c r="F72" s="22"/>
      <c r="G72" s="22"/>
      <c r="H72" s="29" t="str">
        <f t="shared" si="83"/>
        <v/>
      </c>
      <c r="I72" s="27"/>
      <c r="J72" s="27"/>
      <c r="K72" s="22"/>
      <c r="L72" s="29" t="str">
        <f t="shared" si="84"/>
        <v/>
      </c>
      <c r="M72" s="27"/>
      <c r="N72" s="27"/>
      <c r="O72" s="22"/>
      <c r="P72" s="29" t="str">
        <f t="shared" si="85"/>
        <v/>
      </c>
      <c r="Q72" s="22"/>
      <c r="R72" s="32" t="str">
        <f t="shared" si="86"/>
        <v/>
      </c>
      <c r="S72" s="24"/>
      <c r="T72" s="22"/>
      <c r="U72" s="31" t="str">
        <f t="shared" si="87"/>
        <v/>
      </c>
      <c r="V72" s="27"/>
      <c r="W72" s="27"/>
      <c r="X72" s="27"/>
      <c r="Y72" s="32" t="str">
        <f t="shared" si="88"/>
        <v/>
      </c>
      <c r="Z72" s="27"/>
      <c r="AA72" s="27"/>
      <c r="AB72" s="27"/>
      <c r="AC72" s="29" t="str">
        <f t="shared" si="89"/>
        <v/>
      </c>
      <c r="AD72" s="27"/>
      <c r="AE72" s="27"/>
      <c r="AF72" s="27"/>
      <c r="AG72" s="29" t="str">
        <f t="shared" si="90"/>
        <v/>
      </c>
      <c r="AH72" s="27"/>
      <c r="AI72" s="27"/>
      <c r="AJ72" s="27"/>
      <c r="AK72" s="29" t="str">
        <f t="shared" si="91"/>
        <v/>
      </c>
      <c r="AL72" s="27"/>
      <c r="AM72" s="27"/>
      <c r="AN72" s="27"/>
      <c r="AO72" s="29" t="str">
        <f t="shared" si="92"/>
        <v/>
      </c>
      <c r="AP72" s="27"/>
      <c r="AQ72" s="27"/>
      <c r="AR72" s="27"/>
      <c r="AS72" s="29" t="str">
        <f t="shared" si="93"/>
        <v/>
      </c>
      <c r="AT72" s="27"/>
      <c r="AU72" s="27"/>
      <c r="AV72" s="27"/>
      <c r="AW72" s="29" t="str">
        <f t="shared" si="94"/>
        <v/>
      </c>
      <c r="AX72" s="24"/>
      <c r="AY72" s="27"/>
      <c r="AZ72" s="27"/>
      <c r="BA72" s="29" t="str">
        <f t="shared" si="95"/>
        <v/>
      </c>
      <c r="BB72" s="27"/>
      <c r="BC72" s="27"/>
      <c r="BD72" s="27"/>
      <c r="BE72" s="29" t="str">
        <f t="shared" si="96"/>
        <v/>
      </c>
      <c r="BF72" s="27"/>
      <c r="BG72" s="27"/>
      <c r="BH72" s="27"/>
      <c r="BI72" s="29" t="str">
        <f t="shared" si="97"/>
        <v/>
      </c>
      <c r="BJ72" s="27"/>
      <c r="BK72" s="27"/>
      <c r="BL72" s="27"/>
      <c r="BM72" s="29" t="str">
        <f t="shared" si="98"/>
        <v/>
      </c>
      <c r="BN72" s="22"/>
      <c r="BO72" s="22"/>
      <c r="BP72" s="27"/>
      <c r="BQ72" s="29" t="str">
        <f t="shared" si="99"/>
        <v/>
      </c>
      <c r="BR72" s="27"/>
      <c r="BS72" s="27"/>
      <c r="BT72" s="27"/>
      <c r="BU72" s="29" t="str">
        <f t="shared" si="100"/>
        <v/>
      </c>
      <c r="BV72" s="27"/>
      <c r="BW72" s="27"/>
      <c r="BX72" s="27"/>
      <c r="BY72" s="29" t="str">
        <f t="shared" si="101"/>
        <v/>
      </c>
      <c r="BZ72" s="27"/>
      <c r="CA72" s="27"/>
      <c r="CB72" s="29" t="str">
        <f t="shared" si="102"/>
        <v/>
      </c>
      <c r="CC72" s="27"/>
      <c r="CD72" s="27"/>
      <c r="CE72" s="29" t="str">
        <f t="shared" si="103"/>
        <v/>
      </c>
      <c r="CF72" s="27"/>
      <c r="CG72" s="27"/>
      <c r="CH72" s="27"/>
      <c r="CI72" s="29" t="str">
        <f t="shared" si="104"/>
        <v/>
      </c>
      <c r="CJ72" s="27"/>
      <c r="CK72" s="27"/>
      <c r="CL72" s="27"/>
      <c r="CM72" s="29" t="str">
        <f t="shared" si="105"/>
        <v/>
      </c>
      <c r="CN72" s="27"/>
      <c r="CO72" s="27"/>
      <c r="CP72" s="27"/>
      <c r="CQ72" s="29" t="str">
        <f t="shared" si="106"/>
        <v/>
      </c>
      <c r="CR72" s="27"/>
      <c r="CS72" s="27"/>
      <c r="CT72" s="29" t="str">
        <f t="shared" si="107"/>
        <v/>
      </c>
      <c r="CU72" s="27"/>
      <c r="CV72" s="27"/>
      <c r="CW72" s="27"/>
      <c r="CX72" s="29" t="str">
        <f t="shared" si="108"/>
        <v/>
      </c>
      <c r="CY72" s="27"/>
      <c r="CZ72" s="27"/>
      <c r="DA72" s="27"/>
      <c r="DB72" s="29" t="str">
        <f t="shared" si="109"/>
        <v/>
      </c>
      <c r="DC72" s="27"/>
      <c r="DD72" s="27"/>
      <c r="DE72" s="29" t="str">
        <f t="shared" si="110"/>
        <v/>
      </c>
      <c r="DF72" s="27"/>
      <c r="DG72" s="27"/>
      <c r="DH72" s="27"/>
      <c r="DI72" s="29" t="str">
        <f t="shared" si="111"/>
        <v/>
      </c>
      <c r="DJ72" s="27"/>
      <c r="DK72" s="27"/>
      <c r="DL72" s="27"/>
      <c r="DM72" s="29" t="str">
        <f t="shared" si="112"/>
        <v/>
      </c>
      <c r="DN72" s="27"/>
      <c r="DO72" s="27"/>
      <c r="DP72" s="27"/>
      <c r="DQ72" s="29" t="str">
        <f t="shared" si="113"/>
        <v/>
      </c>
      <c r="DR72" s="27"/>
      <c r="DS72" s="27"/>
      <c r="DT72" s="27"/>
      <c r="DU72" s="29" t="str">
        <f t="shared" si="114"/>
        <v/>
      </c>
      <c r="DV72" s="27"/>
      <c r="DW72" s="27"/>
      <c r="DX72" s="27"/>
      <c r="DY72" s="29" t="str">
        <f t="shared" si="115"/>
        <v/>
      </c>
      <c r="DZ72" s="27"/>
      <c r="EA72" s="27"/>
      <c r="EB72" s="27"/>
      <c r="EC72" s="29" t="str">
        <f t="shared" si="116"/>
        <v/>
      </c>
      <c r="ED72" s="27"/>
      <c r="EE72" s="27"/>
      <c r="EF72" s="27"/>
      <c r="EG72" s="29" t="str">
        <f t="shared" si="117"/>
        <v/>
      </c>
      <c r="EH72" s="27"/>
      <c r="EI72" s="27"/>
      <c r="EJ72" s="27"/>
      <c r="EK72" s="29" t="str">
        <f t="shared" si="118"/>
        <v/>
      </c>
      <c r="EL72" s="27"/>
      <c r="EM72" s="27"/>
      <c r="EN72" s="27"/>
      <c r="EO72" s="29" t="str">
        <f t="shared" si="119"/>
        <v/>
      </c>
      <c r="EP72" s="27"/>
      <c r="EQ72" s="27"/>
      <c r="ER72" s="27"/>
      <c r="ES72" s="29" t="str">
        <f t="shared" si="120"/>
        <v/>
      </c>
      <c r="ET72" s="27"/>
      <c r="EU72" s="27"/>
      <c r="EV72" s="27"/>
      <c r="EW72" s="29" t="str">
        <f t="shared" si="121"/>
        <v/>
      </c>
      <c r="EX72" s="27"/>
      <c r="EY72" s="27"/>
      <c r="EZ72" s="27"/>
      <c r="FA72" s="29" t="str">
        <f t="shared" si="122"/>
        <v/>
      </c>
      <c r="FB72" s="27"/>
      <c r="FC72" s="27"/>
      <c r="FD72" s="27"/>
      <c r="FE72" s="29" t="str">
        <f t="shared" si="123"/>
        <v/>
      </c>
      <c r="FF72" s="27"/>
      <c r="FG72" s="27"/>
      <c r="FH72" s="27"/>
      <c r="FI72" s="29" t="str">
        <f t="shared" si="124"/>
        <v/>
      </c>
      <c r="FJ72" s="27"/>
      <c r="FK72" s="27"/>
      <c r="FL72" s="27"/>
      <c r="FM72" s="29" t="str">
        <f t="shared" si="125"/>
        <v/>
      </c>
      <c r="FN72" s="27"/>
      <c r="FO72" s="27"/>
      <c r="FP72" s="27"/>
      <c r="FQ72" s="29" t="str">
        <f t="shared" si="126"/>
        <v/>
      </c>
      <c r="FR72" s="27"/>
      <c r="FS72" s="27"/>
      <c r="FT72" s="27"/>
    </row>
    <row r="73" spans="1:176" x14ac:dyDescent="0.2">
      <c r="A73" s="30" t="str">
        <f t="shared" si="82"/>
        <v xml:space="preserve"> </v>
      </c>
      <c r="B73" s="26"/>
      <c r="C73" s="26"/>
      <c r="D73" s="23"/>
      <c r="E73" s="27"/>
      <c r="F73" s="22"/>
      <c r="G73" s="22"/>
      <c r="H73" s="29" t="str">
        <f t="shared" si="83"/>
        <v/>
      </c>
      <c r="I73" s="27"/>
      <c r="J73" s="27"/>
      <c r="K73" s="22"/>
      <c r="L73" s="29" t="str">
        <f t="shared" si="84"/>
        <v/>
      </c>
      <c r="M73" s="27"/>
      <c r="N73" s="27"/>
      <c r="O73" s="22"/>
      <c r="P73" s="29" t="str">
        <f t="shared" si="85"/>
        <v/>
      </c>
      <c r="Q73" s="22"/>
      <c r="R73" s="32" t="str">
        <f t="shared" si="86"/>
        <v/>
      </c>
      <c r="S73" s="24"/>
      <c r="T73" s="22"/>
      <c r="U73" s="31" t="str">
        <f t="shared" si="87"/>
        <v/>
      </c>
      <c r="V73" s="27"/>
      <c r="W73" s="27"/>
      <c r="X73" s="27"/>
      <c r="Y73" s="32" t="str">
        <f t="shared" si="88"/>
        <v/>
      </c>
      <c r="Z73" s="27"/>
      <c r="AA73" s="27"/>
      <c r="AB73" s="27"/>
      <c r="AC73" s="29" t="str">
        <f t="shared" si="89"/>
        <v/>
      </c>
      <c r="AD73" s="27"/>
      <c r="AE73" s="27"/>
      <c r="AF73" s="27"/>
      <c r="AG73" s="29" t="str">
        <f t="shared" si="90"/>
        <v/>
      </c>
      <c r="AH73" s="27"/>
      <c r="AI73" s="27"/>
      <c r="AJ73" s="27"/>
      <c r="AK73" s="29" t="str">
        <f t="shared" si="91"/>
        <v/>
      </c>
      <c r="AL73" s="27"/>
      <c r="AM73" s="27"/>
      <c r="AN73" s="27"/>
      <c r="AO73" s="29" t="str">
        <f t="shared" si="92"/>
        <v/>
      </c>
      <c r="AP73" s="27"/>
      <c r="AQ73" s="27"/>
      <c r="AR73" s="27"/>
      <c r="AS73" s="29" t="str">
        <f t="shared" si="93"/>
        <v/>
      </c>
      <c r="AT73" s="27"/>
      <c r="AU73" s="27"/>
      <c r="AV73" s="27"/>
      <c r="AW73" s="29" t="str">
        <f t="shared" si="94"/>
        <v/>
      </c>
      <c r="AX73" s="24"/>
      <c r="AY73" s="27"/>
      <c r="AZ73" s="27"/>
      <c r="BA73" s="29" t="str">
        <f t="shared" si="95"/>
        <v/>
      </c>
      <c r="BB73" s="27"/>
      <c r="BC73" s="27"/>
      <c r="BD73" s="27"/>
      <c r="BE73" s="29" t="str">
        <f t="shared" si="96"/>
        <v/>
      </c>
      <c r="BF73" s="27"/>
      <c r="BG73" s="27"/>
      <c r="BH73" s="27"/>
      <c r="BI73" s="29" t="str">
        <f t="shared" si="97"/>
        <v/>
      </c>
      <c r="BJ73" s="27"/>
      <c r="BK73" s="27"/>
      <c r="BL73" s="27"/>
      <c r="BM73" s="29" t="str">
        <f t="shared" si="98"/>
        <v/>
      </c>
      <c r="BN73" s="22"/>
      <c r="BO73" s="22"/>
      <c r="BP73" s="27"/>
      <c r="BQ73" s="29" t="str">
        <f t="shared" si="99"/>
        <v/>
      </c>
      <c r="BR73" s="27"/>
      <c r="BS73" s="27"/>
      <c r="BT73" s="27"/>
      <c r="BU73" s="29" t="str">
        <f t="shared" si="100"/>
        <v/>
      </c>
      <c r="BV73" s="27"/>
      <c r="BW73" s="27"/>
      <c r="BX73" s="27"/>
      <c r="BY73" s="29" t="str">
        <f t="shared" si="101"/>
        <v/>
      </c>
      <c r="BZ73" s="27"/>
      <c r="CA73" s="27"/>
      <c r="CB73" s="29" t="str">
        <f t="shared" si="102"/>
        <v/>
      </c>
      <c r="CC73" s="27"/>
      <c r="CD73" s="27"/>
      <c r="CE73" s="29" t="str">
        <f t="shared" si="103"/>
        <v/>
      </c>
      <c r="CF73" s="27"/>
      <c r="CG73" s="27"/>
      <c r="CH73" s="27"/>
      <c r="CI73" s="29" t="str">
        <f t="shared" si="104"/>
        <v/>
      </c>
      <c r="CJ73" s="27"/>
      <c r="CK73" s="27"/>
      <c r="CL73" s="27"/>
      <c r="CM73" s="29" t="str">
        <f t="shared" si="105"/>
        <v/>
      </c>
      <c r="CN73" s="27"/>
      <c r="CO73" s="27"/>
      <c r="CP73" s="27"/>
      <c r="CQ73" s="29" t="str">
        <f t="shared" si="106"/>
        <v/>
      </c>
      <c r="CR73" s="27"/>
      <c r="CS73" s="27"/>
      <c r="CT73" s="29" t="str">
        <f t="shared" si="107"/>
        <v/>
      </c>
      <c r="CU73" s="27"/>
      <c r="CV73" s="27"/>
      <c r="CW73" s="27"/>
      <c r="CX73" s="29" t="str">
        <f t="shared" si="108"/>
        <v/>
      </c>
      <c r="CY73" s="27"/>
      <c r="CZ73" s="27"/>
      <c r="DA73" s="27"/>
      <c r="DB73" s="29" t="str">
        <f t="shared" si="109"/>
        <v/>
      </c>
      <c r="DC73" s="27"/>
      <c r="DD73" s="27"/>
      <c r="DE73" s="29" t="str">
        <f t="shared" si="110"/>
        <v/>
      </c>
      <c r="DF73" s="27"/>
      <c r="DG73" s="27"/>
      <c r="DH73" s="27"/>
      <c r="DI73" s="29" t="str">
        <f t="shared" si="111"/>
        <v/>
      </c>
      <c r="DJ73" s="27"/>
      <c r="DK73" s="27"/>
      <c r="DL73" s="27"/>
      <c r="DM73" s="29" t="str">
        <f t="shared" si="112"/>
        <v/>
      </c>
      <c r="DN73" s="27"/>
      <c r="DO73" s="27"/>
      <c r="DP73" s="27"/>
      <c r="DQ73" s="29" t="str">
        <f t="shared" si="113"/>
        <v/>
      </c>
      <c r="DR73" s="27"/>
      <c r="DS73" s="27"/>
      <c r="DT73" s="27"/>
      <c r="DU73" s="29" t="str">
        <f t="shared" si="114"/>
        <v/>
      </c>
      <c r="DV73" s="27"/>
      <c r="DW73" s="27"/>
      <c r="DX73" s="27"/>
      <c r="DY73" s="29" t="str">
        <f t="shared" si="115"/>
        <v/>
      </c>
      <c r="DZ73" s="27"/>
      <c r="EA73" s="27"/>
      <c r="EB73" s="27"/>
      <c r="EC73" s="29" t="str">
        <f t="shared" si="116"/>
        <v/>
      </c>
      <c r="ED73" s="27"/>
      <c r="EE73" s="27"/>
      <c r="EF73" s="27"/>
      <c r="EG73" s="29" t="str">
        <f t="shared" si="117"/>
        <v/>
      </c>
      <c r="EH73" s="27"/>
      <c r="EI73" s="27"/>
      <c r="EJ73" s="27"/>
      <c r="EK73" s="29" t="str">
        <f t="shared" si="118"/>
        <v/>
      </c>
      <c r="EL73" s="27"/>
      <c r="EM73" s="27"/>
      <c r="EN73" s="27"/>
      <c r="EO73" s="29" t="str">
        <f t="shared" si="119"/>
        <v/>
      </c>
      <c r="EP73" s="27"/>
      <c r="EQ73" s="27"/>
      <c r="ER73" s="27"/>
      <c r="ES73" s="29" t="str">
        <f t="shared" si="120"/>
        <v/>
      </c>
      <c r="ET73" s="27"/>
      <c r="EU73" s="27"/>
      <c r="EV73" s="27"/>
      <c r="EW73" s="29" t="str">
        <f t="shared" si="121"/>
        <v/>
      </c>
      <c r="EX73" s="27"/>
      <c r="EY73" s="27"/>
      <c r="EZ73" s="27"/>
      <c r="FA73" s="29" t="str">
        <f t="shared" si="122"/>
        <v/>
      </c>
      <c r="FB73" s="27"/>
      <c r="FC73" s="27"/>
      <c r="FD73" s="27"/>
      <c r="FE73" s="29" t="str">
        <f t="shared" si="123"/>
        <v/>
      </c>
      <c r="FF73" s="27"/>
      <c r="FG73" s="27"/>
      <c r="FH73" s="27"/>
      <c r="FI73" s="29" t="str">
        <f t="shared" si="124"/>
        <v/>
      </c>
      <c r="FJ73" s="27"/>
      <c r="FK73" s="27"/>
      <c r="FL73" s="27"/>
      <c r="FM73" s="29" t="str">
        <f t="shared" si="125"/>
        <v/>
      </c>
      <c r="FN73" s="27"/>
      <c r="FO73" s="27"/>
      <c r="FP73" s="27"/>
      <c r="FQ73" s="29" t="str">
        <f t="shared" si="126"/>
        <v/>
      </c>
      <c r="FR73" s="27"/>
      <c r="FS73" s="27"/>
      <c r="FT73" s="27"/>
    </row>
    <row r="74" spans="1:176" x14ac:dyDescent="0.2">
      <c r="A74" s="30" t="str">
        <f t="shared" si="82"/>
        <v xml:space="preserve"> </v>
      </c>
      <c r="B74" s="26"/>
      <c r="C74" s="26"/>
      <c r="D74" s="23"/>
      <c r="E74" s="27"/>
      <c r="F74" s="22"/>
      <c r="G74" s="22"/>
      <c r="H74" s="29" t="str">
        <f t="shared" si="83"/>
        <v/>
      </c>
      <c r="I74" s="27"/>
      <c r="J74" s="27"/>
      <c r="K74" s="22"/>
      <c r="L74" s="29" t="str">
        <f t="shared" si="84"/>
        <v/>
      </c>
      <c r="M74" s="27"/>
      <c r="N74" s="27"/>
      <c r="O74" s="22"/>
      <c r="P74" s="29" t="str">
        <f t="shared" si="85"/>
        <v/>
      </c>
      <c r="Q74" s="22"/>
      <c r="R74" s="32" t="str">
        <f t="shared" si="86"/>
        <v/>
      </c>
      <c r="S74" s="24"/>
      <c r="T74" s="22"/>
      <c r="U74" s="31" t="str">
        <f t="shared" si="87"/>
        <v/>
      </c>
      <c r="V74" s="27"/>
      <c r="W74" s="27"/>
      <c r="X74" s="27"/>
      <c r="Y74" s="32" t="str">
        <f t="shared" si="88"/>
        <v/>
      </c>
      <c r="Z74" s="27"/>
      <c r="AA74" s="27"/>
      <c r="AB74" s="27"/>
      <c r="AC74" s="29" t="str">
        <f t="shared" si="89"/>
        <v/>
      </c>
      <c r="AD74" s="27"/>
      <c r="AE74" s="27"/>
      <c r="AF74" s="27"/>
      <c r="AG74" s="29" t="str">
        <f t="shared" si="90"/>
        <v/>
      </c>
      <c r="AH74" s="27"/>
      <c r="AI74" s="27"/>
      <c r="AJ74" s="27"/>
      <c r="AK74" s="29" t="str">
        <f t="shared" si="91"/>
        <v/>
      </c>
      <c r="AL74" s="27"/>
      <c r="AM74" s="27"/>
      <c r="AN74" s="27"/>
      <c r="AO74" s="29" t="str">
        <f t="shared" si="92"/>
        <v/>
      </c>
      <c r="AP74" s="27"/>
      <c r="AQ74" s="27"/>
      <c r="AR74" s="27"/>
      <c r="AS74" s="29" t="str">
        <f t="shared" si="93"/>
        <v/>
      </c>
      <c r="AT74" s="27"/>
      <c r="AU74" s="27"/>
      <c r="AV74" s="27"/>
      <c r="AW74" s="29" t="str">
        <f t="shared" si="94"/>
        <v/>
      </c>
      <c r="AX74" s="24"/>
      <c r="AY74" s="27"/>
      <c r="AZ74" s="27"/>
      <c r="BA74" s="29" t="str">
        <f t="shared" si="95"/>
        <v/>
      </c>
      <c r="BB74" s="27"/>
      <c r="BC74" s="27"/>
      <c r="BD74" s="27"/>
      <c r="BE74" s="29" t="str">
        <f t="shared" si="96"/>
        <v/>
      </c>
      <c r="BF74" s="27"/>
      <c r="BG74" s="27"/>
      <c r="BH74" s="27"/>
      <c r="BI74" s="29" t="str">
        <f t="shared" si="97"/>
        <v/>
      </c>
      <c r="BJ74" s="27"/>
      <c r="BK74" s="27"/>
      <c r="BL74" s="27"/>
      <c r="BM74" s="29" t="str">
        <f t="shared" si="98"/>
        <v/>
      </c>
      <c r="BN74" s="22"/>
      <c r="BO74" s="22"/>
      <c r="BP74" s="27"/>
      <c r="BQ74" s="29" t="str">
        <f t="shared" si="99"/>
        <v/>
      </c>
      <c r="BR74" s="27"/>
      <c r="BS74" s="27"/>
      <c r="BT74" s="27"/>
      <c r="BU74" s="29" t="str">
        <f t="shared" si="100"/>
        <v/>
      </c>
      <c r="BV74" s="27"/>
      <c r="BW74" s="27"/>
      <c r="BX74" s="27"/>
      <c r="BY74" s="29" t="str">
        <f t="shared" si="101"/>
        <v/>
      </c>
      <c r="BZ74" s="27"/>
      <c r="CA74" s="27"/>
      <c r="CB74" s="29" t="str">
        <f t="shared" si="102"/>
        <v/>
      </c>
      <c r="CC74" s="27"/>
      <c r="CD74" s="27"/>
      <c r="CE74" s="29" t="str">
        <f t="shared" si="103"/>
        <v/>
      </c>
      <c r="CF74" s="27"/>
      <c r="CG74" s="27"/>
      <c r="CH74" s="27"/>
      <c r="CI74" s="29" t="str">
        <f t="shared" si="104"/>
        <v/>
      </c>
      <c r="CJ74" s="27"/>
      <c r="CK74" s="27"/>
      <c r="CL74" s="27"/>
      <c r="CM74" s="29" t="str">
        <f t="shared" si="105"/>
        <v/>
      </c>
      <c r="CN74" s="27"/>
      <c r="CO74" s="27"/>
      <c r="CP74" s="27"/>
      <c r="CQ74" s="29" t="str">
        <f t="shared" si="106"/>
        <v/>
      </c>
      <c r="CR74" s="27"/>
      <c r="CS74" s="27"/>
      <c r="CT74" s="29" t="str">
        <f t="shared" si="107"/>
        <v/>
      </c>
      <c r="CU74" s="27"/>
      <c r="CV74" s="27"/>
      <c r="CW74" s="27"/>
      <c r="CX74" s="29" t="str">
        <f t="shared" si="108"/>
        <v/>
      </c>
      <c r="CY74" s="27"/>
      <c r="CZ74" s="27"/>
      <c r="DA74" s="27"/>
      <c r="DB74" s="29" t="str">
        <f t="shared" si="109"/>
        <v/>
      </c>
      <c r="DC74" s="27"/>
      <c r="DD74" s="27"/>
      <c r="DE74" s="29" t="str">
        <f t="shared" si="110"/>
        <v/>
      </c>
      <c r="DF74" s="27"/>
      <c r="DG74" s="27"/>
      <c r="DH74" s="27"/>
      <c r="DI74" s="29" t="str">
        <f t="shared" si="111"/>
        <v/>
      </c>
      <c r="DJ74" s="27"/>
      <c r="DK74" s="27"/>
      <c r="DL74" s="27"/>
      <c r="DM74" s="29" t="str">
        <f t="shared" si="112"/>
        <v/>
      </c>
      <c r="DN74" s="27"/>
      <c r="DO74" s="27"/>
      <c r="DP74" s="27"/>
      <c r="DQ74" s="29" t="str">
        <f t="shared" si="113"/>
        <v/>
      </c>
      <c r="DR74" s="27"/>
      <c r="DS74" s="27"/>
      <c r="DT74" s="27"/>
      <c r="DU74" s="29" t="str">
        <f t="shared" si="114"/>
        <v/>
      </c>
      <c r="DV74" s="27"/>
      <c r="DW74" s="27"/>
      <c r="DX74" s="27"/>
      <c r="DY74" s="29" t="str">
        <f t="shared" si="115"/>
        <v/>
      </c>
      <c r="DZ74" s="27"/>
      <c r="EA74" s="27"/>
      <c r="EB74" s="27"/>
      <c r="EC74" s="29" t="str">
        <f t="shared" si="116"/>
        <v/>
      </c>
      <c r="ED74" s="27"/>
      <c r="EE74" s="27"/>
      <c r="EF74" s="27"/>
      <c r="EG74" s="29" t="str">
        <f t="shared" si="117"/>
        <v/>
      </c>
      <c r="EH74" s="27"/>
      <c r="EI74" s="27"/>
      <c r="EJ74" s="27"/>
      <c r="EK74" s="29" t="str">
        <f t="shared" si="118"/>
        <v/>
      </c>
      <c r="EL74" s="27"/>
      <c r="EM74" s="27"/>
      <c r="EN74" s="27"/>
      <c r="EO74" s="29" t="str">
        <f t="shared" si="119"/>
        <v/>
      </c>
      <c r="EP74" s="27"/>
      <c r="EQ74" s="27"/>
      <c r="ER74" s="27"/>
      <c r="ES74" s="29" t="str">
        <f t="shared" si="120"/>
        <v/>
      </c>
      <c r="ET74" s="27"/>
      <c r="EU74" s="27"/>
      <c r="EV74" s="27"/>
      <c r="EW74" s="29" t="str">
        <f t="shared" si="121"/>
        <v/>
      </c>
      <c r="EX74" s="27"/>
      <c r="EY74" s="27"/>
      <c r="EZ74" s="27"/>
      <c r="FA74" s="29" t="str">
        <f t="shared" si="122"/>
        <v/>
      </c>
      <c r="FB74" s="27"/>
      <c r="FC74" s="27"/>
      <c r="FD74" s="27"/>
      <c r="FE74" s="29" t="str">
        <f t="shared" si="123"/>
        <v/>
      </c>
      <c r="FF74" s="27"/>
      <c r="FG74" s="27"/>
      <c r="FH74" s="27"/>
      <c r="FI74" s="29" t="str">
        <f t="shared" si="124"/>
        <v/>
      </c>
      <c r="FJ74" s="27"/>
      <c r="FK74" s="27"/>
      <c r="FL74" s="27"/>
      <c r="FM74" s="29" t="str">
        <f t="shared" si="125"/>
        <v/>
      </c>
      <c r="FN74" s="27"/>
      <c r="FO74" s="27"/>
      <c r="FP74" s="27"/>
      <c r="FQ74" s="29" t="str">
        <f t="shared" si="126"/>
        <v/>
      </c>
      <c r="FR74" s="27"/>
      <c r="FS74" s="27"/>
      <c r="FT74" s="27"/>
    </row>
    <row r="75" spans="1:176" x14ac:dyDescent="0.2">
      <c r="A75" s="30" t="str">
        <f t="shared" si="82"/>
        <v xml:space="preserve"> </v>
      </c>
      <c r="B75" s="26"/>
      <c r="C75" s="26"/>
      <c r="D75" s="23"/>
      <c r="E75" s="27"/>
      <c r="F75" s="22"/>
      <c r="G75" s="22"/>
      <c r="H75" s="29" t="str">
        <f t="shared" si="83"/>
        <v/>
      </c>
      <c r="I75" s="27"/>
      <c r="J75" s="27"/>
      <c r="K75" s="22"/>
      <c r="L75" s="29" t="str">
        <f t="shared" si="84"/>
        <v/>
      </c>
      <c r="M75" s="27"/>
      <c r="N75" s="27"/>
      <c r="O75" s="22"/>
      <c r="P75" s="29" t="str">
        <f t="shared" si="85"/>
        <v/>
      </c>
      <c r="Q75" s="22"/>
      <c r="R75" s="32" t="str">
        <f t="shared" si="86"/>
        <v/>
      </c>
      <c r="S75" s="24"/>
      <c r="T75" s="22"/>
      <c r="U75" s="31" t="str">
        <f t="shared" si="87"/>
        <v/>
      </c>
      <c r="V75" s="27"/>
      <c r="W75" s="27"/>
      <c r="X75" s="27"/>
      <c r="Y75" s="32" t="str">
        <f t="shared" si="88"/>
        <v/>
      </c>
      <c r="Z75" s="27"/>
      <c r="AA75" s="27"/>
      <c r="AB75" s="27"/>
      <c r="AC75" s="29" t="str">
        <f t="shared" si="89"/>
        <v/>
      </c>
      <c r="AD75" s="27"/>
      <c r="AE75" s="27"/>
      <c r="AF75" s="27"/>
      <c r="AG75" s="29" t="str">
        <f t="shared" si="90"/>
        <v/>
      </c>
      <c r="AH75" s="27"/>
      <c r="AI75" s="27"/>
      <c r="AJ75" s="27"/>
      <c r="AK75" s="29" t="str">
        <f t="shared" si="91"/>
        <v/>
      </c>
      <c r="AL75" s="27"/>
      <c r="AM75" s="27"/>
      <c r="AN75" s="27"/>
      <c r="AO75" s="29" t="str">
        <f t="shared" si="92"/>
        <v/>
      </c>
      <c r="AP75" s="27"/>
      <c r="AQ75" s="27"/>
      <c r="AR75" s="27"/>
      <c r="AS75" s="29" t="str">
        <f t="shared" si="93"/>
        <v/>
      </c>
      <c r="AT75" s="27"/>
      <c r="AU75" s="27"/>
      <c r="AV75" s="27"/>
      <c r="AW75" s="29" t="str">
        <f t="shared" si="94"/>
        <v/>
      </c>
      <c r="AX75" s="24"/>
      <c r="AY75" s="27"/>
      <c r="AZ75" s="27"/>
      <c r="BA75" s="29" t="str">
        <f t="shared" si="95"/>
        <v/>
      </c>
      <c r="BB75" s="27"/>
      <c r="BC75" s="27"/>
      <c r="BD75" s="27"/>
      <c r="BE75" s="29" t="str">
        <f t="shared" si="96"/>
        <v/>
      </c>
      <c r="BF75" s="27"/>
      <c r="BG75" s="27"/>
      <c r="BH75" s="27"/>
      <c r="BI75" s="29" t="str">
        <f t="shared" si="97"/>
        <v/>
      </c>
      <c r="BJ75" s="27"/>
      <c r="BK75" s="27"/>
      <c r="BL75" s="27"/>
      <c r="BM75" s="29" t="str">
        <f t="shared" si="98"/>
        <v/>
      </c>
      <c r="BN75" s="22"/>
      <c r="BO75" s="22"/>
      <c r="BP75" s="27"/>
      <c r="BQ75" s="29" t="str">
        <f t="shared" si="99"/>
        <v/>
      </c>
      <c r="BR75" s="27"/>
      <c r="BS75" s="27"/>
      <c r="BT75" s="27"/>
      <c r="BU75" s="29" t="str">
        <f t="shared" si="100"/>
        <v/>
      </c>
      <c r="BV75" s="27"/>
      <c r="BW75" s="27"/>
      <c r="BX75" s="27"/>
      <c r="BY75" s="29" t="str">
        <f t="shared" si="101"/>
        <v/>
      </c>
      <c r="BZ75" s="27"/>
      <c r="CA75" s="27"/>
      <c r="CB75" s="29" t="str">
        <f t="shared" si="102"/>
        <v/>
      </c>
      <c r="CC75" s="27"/>
      <c r="CD75" s="27"/>
      <c r="CE75" s="29" t="str">
        <f t="shared" si="103"/>
        <v/>
      </c>
      <c r="CF75" s="27"/>
      <c r="CG75" s="27"/>
      <c r="CH75" s="27"/>
      <c r="CI75" s="29" t="str">
        <f t="shared" si="104"/>
        <v/>
      </c>
      <c r="CJ75" s="27"/>
      <c r="CK75" s="27"/>
      <c r="CL75" s="27"/>
      <c r="CM75" s="29" t="str">
        <f t="shared" si="105"/>
        <v/>
      </c>
      <c r="CN75" s="27"/>
      <c r="CO75" s="27"/>
      <c r="CP75" s="27"/>
      <c r="CQ75" s="29" t="str">
        <f t="shared" si="106"/>
        <v/>
      </c>
      <c r="CR75" s="27"/>
      <c r="CS75" s="27"/>
      <c r="CT75" s="29" t="str">
        <f t="shared" si="107"/>
        <v/>
      </c>
      <c r="CU75" s="27"/>
      <c r="CV75" s="27"/>
      <c r="CW75" s="27"/>
      <c r="CX75" s="29" t="str">
        <f t="shared" si="108"/>
        <v/>
      </c>
      <c r="CY75" s="27"/>
      <c r="CZ75" s="27"/>
      <c r="DA75" s="27"/>
      <c r="DB75" s="29" t="str">
        <f t="shared" si="109"/>
        <v/>
      </c>
      <c r="DC75" s="27"/>
      <c r="DD75" s="27"/>
      <c r="DE75" s="29" t="str">
        <f t="shared" si="110"/>
        <v/>
      </c>
      <c r="DF75" s="27"/>
      <c r="DG75" s="27"/>
      <c r="DH75" s="27"/>
      <c r="DI75" s="29" t="str">
        <f t="shared" si="111"/>
        <v/>
      </c>
      <c r="DJ75" s="27"/>
      <c r="DK75" s="27"/>
      <c r="DL75" s="27"/>
      <c r="DM75" s="29" t="str">
        <f t="shared" si="112"/>
        <v/>
      </c>
      <c r="DN75" s="27"/>
      <c r="DO75" s="27"/>
      <c r="DP75" s="27"/>
      <c r="DQ75" s="29" t="str">
        <f t="shared" si="113"/>
        <v/>
      </c>
      <c r="DR75" s="27"/>
      <c r="DS75" s="27"/>
      <c r="DT75" s="27"/>
      <c r="DU75" s="29" t="str">
        <f t="shared" si="114"/>
        <v/>
      </c>
      <c r="DV75" s="27"/>
      <c r="DW75" s="27"/>
      <c r="DX75" s="27"/>
      <c r="DY75" s="29" t="str">
        <f t="shared" si="115"/>
        <v/>
      </c>
      <c r="DZ75" s="27"/>
      <c r="EA75" s="27"/>
      <c r="EB75" s="27"/>
      <c r="EC75" s="29" t="str">
        <f t="shared" si="116"/>
        <v/>
      </c>
      <c r="ED75" s="27"/>
      <c r="EE75" s="27"/>
      <c r="EF75" s="27"/>
      <c r="EG75" s="29" t="str">
        <f t="shared" si="117"/>
        <v/>
      </c>
      <c r="EH75" s="27"/>
      <c r="EI75" s="27"/>
      <c r="EJ75" s="27"/>
      <c r="EK75" s="29" t="str">
        <f t="shared" si="118"/>
        <v/>
      </c>
      <c r="EL75" s="27"/>
      <c r="EM75" s="27"/>
      <c r="EN75" s="27"/>
      <c r="EO75" s="29" t="str">
        <f t="shared" si="119"/>
        <v/>
      </c>
      <c r="EP75" s="27"/>
      <c r="EQ75" s="27"/>
      <c r="ER75" s="27"/>
      <c r="ES75" s="29" t="str">
        <f t="shared" si="120"/>
        <v/>
      </c>
      <c r="ET75" s="27"/>
      <c r="EU75" s="27"/>
      <c r="EV75" s="27"/>
      <c r="EW75" s="29" t="str">
        <f t="shared" si="121"/>
        <v/>
      </c>
      <c r="EX75" s="27"/>
      <c r="EY75" s="27"/>
      <c r="EZ75" s="27"/>
      <c r="FA75" s="29" t="str">
        <f t="shared" si="122"/>
        <v/>
      </c>
      <c r="FB75" s="27"/>
      <c r="FC75" s="27"/>
      <c r="FD75" s="27"/>
      <c r="FE75" s="29" t="str">
        <f t="shared" si="123"/>
        <v/>
      </c>
      <c r="FF75" s="27"/>
      <c r="FG75" s="27"/>
      <c r="FH75" s="27"/>
      <c r="FI75" s="29" t="str">
        <f t="shared" si="124"/>
        <v/>
      </c>
      <c r="FJ75" s="27"/>
      <c r="FK75" s="27"/>
      <c r="FL75" s="27"/>
      <c r="FM75" s="29" t="str">
        <f t="shared" si="125"/>
        <v/>
      </c>
      <c r="FN75" s="27"/>
      <c r="FO75" s="27"/>
      <c r="FP75" s="27"/>
      <c r="FQ75" s="29" t="str">
        <f t="shared" si="126"/>
        <v/>
      </c>
      <c r="FR75" s="27"/>
      <c r="FS75" s="27"/>
      <c r="FT75" s="27"/>
    </row>
    <row r="76" spans="1:176" x14ac:dyDescent="0.2">
      <c r="A76" s="30" t="str">
        <f t="shared" si="82"/>
        <v xml:space="preserve"> </v>
      </c>
      <c r="B76" s="26"/>
      <c r="C76" s="26"/>
      <c r="D76" s="23"/>
      <c r="E76" s="27"/>
      <c r="F76" s="22"/>
      <c r="G76" s="22"/>
      <c r="H76" s="29" t="str">
        <f t="shared" si="83"/>
        <v/>
      </c>
      <c r="I76" s="27"/>
      <c r="J76" s="27"/>
      <c r="K76" s="22"/>
      <c r="L76" s="29" t="str">
        <f t="shared" si="84"/>
        <v/>
      </c>
      <c r="M76" s="27"/>
      <c r="N76" s="27"/>
      <c r="O76" s="22"/>
      <c r="P76" s="29" t="str">
        <f t="shared" si="85"/>
        <v/>
      </c>
      <c r="Q76" s="22"/>
      <c r="R76" s="32" t="str">
        <f t="shared" si="86"/>
        <v/>
      </c>
      <c r="S76" s="24"/>
      <c r="T76" s="22"/>
      <c r="U76" s="31" t="str">
        <f t="shared" si="87"/>
        <v/>
      </c>
      <c r="V76" s="27"/>
      <c r="W76" s="27"/>
      <c r="X76" s="27"/>
      <c r="Y76" s="32" t="str">
        <f t="shared" si="88"/>
        <v/>
      </c>
      <c r="Z76" s="27"/>
      <c r="AA76" s="27"/>
      <c r="AB76" s="27"/>
      <c r="AC76" s="29" t="str">
        <f t="shared" si="89"/>
        <v/>
      </c>
      <c r="AD76" s="27"/>
      <c r="AE76" s="27"/>
      <c r="AF76" s="27"/>
      <c r="AG76" s="29" t="str">
        <f t="shared" si="90"/>
        <v/>
      </c>
      <c r="AH76" s="27"/>
      <c r="AI76" s="27"/>
      <c r="AJ76" s="27"/>
      <c r="AK76" s="29" t="str">
        <f t="shared" si="91"/>
        <v/>
      </c>
      <c r="AL76" s="27"/>
      <c r="AM76" s="27"/>
      <c r="AN76" s="27"/>
      <c r="AO76" s="29" t="str">
        <f t="shared" si="92"/>
        <v/>
      </c>
      <c r="AP76" s="27"/>
      <c r="AQ76" s="27"/>
      <c r="AR76" s="27"/>
      <c r="AS76" s="29" t="str">
        <f t="shared" si="93"/>
        <v/>
      </c>
      <c r="AT76" s="27"/>
      <c r="AU76" s="27"/>
      <c r="AV76" s="27"/>
      <c r="AW76" s="29" t="str">
        <f t="shared" si="94"/>
        <v/>
      </c>
      <c r="AX76" s="24"/>
      <c r="AY76" s="27"/>
      <c r="AZ76" s="27"/>
      <c r="BA76" s="29" t="str">
        <f t="shared" si="95"/>
        <v/>
      </c>
      <c r="BB76" s="27"/>
      <c r="BC76" s="27"/>
      <c r="BD76" s="27"/>
      <c r="BE76" s="29" t="str">
        <f t="shared" si="96"/>
        <v/>
      </c>
      <c r="BF76" s="27"/>
      <c r="BG76" s="27"/>
      <c r="BH76" s="27"/>
      <c r="BI76" s="29" t="str">
        <f t="shared" si="97"/>
        <v/>
      </c>
      <c r="BJ76" s="27"/>
      <c r="BK76" s="27"/>
      <c r="BL76" s="27"/>
      <c r="BM76" s="29" t="str">
        <f t="shared" si="98"/>
        <v/>
      </c>
      <c r="BN76" s="22"/>
      <c r="BO76" s="22"/>
      <c r="BP76" s="27"/>
      <c r="BQ76" s="29" t="str">
        <f t="shared" si="99"/>
        <v/>
      </c>
      <c r="BR76" s="27"/>
      <c r="BS76" s="27"/>
      <c r="BT76" s="27"/>
      <c r="BU76" s="29" t="str">
        <f t="shared" si="100"/>
        <v/>
      </c>
      <c r="BV76" s="27"/>
      <c r="BW76" s="27"/>
      <c r="BX76" s="27"/>
      <c r="BY76" s="29" t="str">
        <f t="shared" si="101"/>
        <v/>
      </c>
      <c r="BZ76" s="27"/>
      <c r="CA76" s="27"/>
      <c r="CB76" s="29" t="str">
        <f t="shared" si="102"/>
        <v/>
      </c>
      <c r="CC76" s="27"/>
      <c r="CD76" s="27"/>
      <c r="CE76" s="29" t="str">
        <f t="shared" si="103"/>
        <v/>
      </c>
      <c r="CF76" s="27"/>
      <c r="CG76" s="27"/>
      <c r="CH76" s="27"/>
      <c r="CI76" s="29" t="str">
        <f t="shared" si="104"/>
        <v/>
      </c>
      <c r="CJ76" s="27"/>
      <c r="CK76" s="27"/>
      <c r="CL76" s="27"/>
      <c r="CM76" s="29" t="str">
        <f t="shared" si="105"/>
        <v/>
      </c>
      <c r="CN76" s="27"/>
      <c r="CO76" s="27"/>
      <c r="CP76" s="27"/>
      <c r="CQ76" s="29" t="str">
        <f t="shared" si="106"/>
        <v/>
      </c>
      <c r="CR76" s="27"/>
      <c r="CS76" s="27"/>
      <c r="CT76" s="29" t="str">
        <f t="shared" si="107"/>
        <v/>
      </c>
      <c r="CU76" s="27"/>
      <c r="CV76" s="27"/>
      <c r="CW76" s="27"/>
      <c r="CX76" s="29" t="str">
        <f t="shared" si="108"/>
        <v/>
      </c>
      <c r="CY76" s="27"/>
      <c r="CZ76" s="27"/>
      <c r="DA76" s="27"/>
      <c r="DB76" s="29" t="str">
        <f t="shared" si="109"/>
        <v/>
      </c>
      <c r="DC76" s="27"/>
      <c r="DD76" s="27"/>
      <c r="DE76" s="29" t="str">
        <f t="shared" si="110"/>
        <v/>
      </c>
      <c r="DF76" s="27"/>
      <c r="DG76" s="27"/>
      <c r="DH76" s="27"/>
      <c r="DI76" s="29" t="str">
        <f t="shared" si="111"/>
        <v/>
      </c>
      <c r="DJ76" s="27"/>
      <c r="DK76" s="27"/>
      <c r="DL76" s="27"/>
      <c r="DM76" s="29" t="str">
        <f t="shared" si="112"/>
        <v/>
      </c>
      <c r="DN76" s="27"/>
      <c r="DO76" s="27"/>
      <c r="DP76" s="27"/>
      <c r="DQ76" s="29" t="str">
        <f t="shared" si="113"/>
        <v/>
      </c>
      <c r="DR76" s="27"/>
      <c r="DS76" s="27"/>
      <c r="DT76" s="27"/>
      <c r="DU76" s="29" t="str">
        <f t="shared" si="114"/>
        <v/>
      </c>
      <c r="DV76" s="27"/>
      <c r="DW76" s="27"/>
      <c r="DX76" s="27"/>
      <c r="DY76" s="29" t="str">
        <f t="shared" si="115"/>
        <v/>
      </c>
      <c r="DZ76" s="27"/>
      <c r="EA76" s="27"/>
      <c r="EB76" s="27"/>
      <c r="EC76" s="29" t="str">
        <f t="shared" si="116"/>
        <v/>
      </c>
      <c r="ED76" s="27"/>
      <c r="EE76" s="27"/>
      <c r="EF76" s="27"/>
      <c r="EG76" s="29" t="str">
        <f t="shared" si="117"/>
        <v/>
      </c>
      <c r="EH76" s="27"/>
      <c r="EI76" s="27"/>
      <c r="EJ76" s="27"/>
      <c r="EK76" s="29" t="str">
        <f t="shared" si="118"/>
        <v/>
      </c>
      <c r="EL76" s="27"/>
      <c r="EM76" s="27"/>
      <c r="EN76" s="27"/>
      <c r="EO76" s="29" t="str">
        <f t="shared" si="119"/>
        <v/>
      </c>
      <c r="EP76" s="27"/>
      <c r="EQ76" s="27"/>
      <c r="ER76" s="27"/>
      <c r="ES76" s="29" t="str">
        <f t="shared" si="120"/>
        <v/>
      </c>
      <c r="ET76" s="27"/>
      <c r="EU76" s="27"/>
      <c r="EV76" s="27"/>
      <c r="EW76" s="29" t="str">
        <f t="shared" si="121"/>
        <v/>
      </c>
      <c r="EX76" s="27"/>
      <c r="EY76" s="27"/>
      <c r="EZ76" s="27"/>
      <c r="FA76" s="29" t="str">
        <f t="shared" si="122"/>
        <v/>
      </c>
      <c r="FB76" s="27"/>
      <c r="FC76" s="27"/>
      <c r="FD76" s="27"/>
      <c r="FE76" s="29" t="str">
        <f t="shared" si="123"/>
        <v/>
      </c>
      <c r="FF76" s="27"/>
      <c r="FG76" s="27"/>
      <c r="FH76" s="27"/>
      <c r="FI76" s="29" t="str">
        <f t="shared" si="124"/>
        <v/>
      </c>
      <c r="FJ76" s="27"/>
      <c r="FK76" s="27"/>
      <c r="FL76" s="27"/>
      <c r="FM76" s="29" t="str">
        <f t="shared" si="125"/>
        <v/>
      </c>
      <c r="FN76" s="27"/>
      <c r="FO76" s="27"/>
      <c r="FP76" s="27"/>
      <c r="FQ76" s="29" t="str">
        <f t="shared" si="126"/>
        <v/>
      </c>
      <c r="FR76" s="27"/>
      <c r="FS76" s="27"/>
      <c r="FT76" s="27"/>
    </row>
    <row r="77" spans="1:176" x14ac:dyDescent="0.2">
      <c r="A77" s="30" t="str">
        <f t="shared" si="82"/>
        <v xml:space="preserve"> </v>
      </c>
      <c r="B77" s="26"/>
      <c r="C77" s="26"/>
      <c r="D77" s="23"/>
      <c r="E77" s="27"/>
      <c r="F77" s="22"/>
      <c r="G77" s="22"/>
      <c r="H77" s="29" t="str">
        <f t="shared" si="83"/>
        <v/>
      </c>
      <c r="I77" s="27"/>
      <c r="J77" s="27"/>
      <c r="K77" s="22"/>
      <c r="L77" s="29" t="str">
        <f t="shared" si="84"/>
        <v/>
      </c>
      <c r="M77" s="27"/>
      <c r="N77" s="27"/>
      <c r="O77" s="22"/>
      <c r="P77" s="29" t="str">
        <f t="shared" si="85"/>
        <v/>
      </c>
      <c r="Q77" s="22"/>
      <c r="R77" s="32" t="str">
        <f t="shared" si="86"/>
        <v/>
      </c>
      <c r="S77" s="24"/>
      <c r="T77" s="22"/>
      <c r="U77" s="31" t="str">
        <f t="shared" si="87"/>
        <v/>
      </c>
      <c r="V77" s="27"/>
      <c r="W77" s="27"/>
      <c r="X77" s="27"/>
      <c r="Y77" s="32" t="str">
        <f t="shared" si="88"/>
        <v/>
      </c>
      <c r="Z77" s="27"/>
      <c r="AA77" s="27"/>
      <c r="AB77" s="27"/>
      <c r="AC77" s="29" t="str">
        <f t="shared" si="89"/>
        <v/>
      </c>
      <c r="AD77" s="27"/>
      <c r="AE77" s="27"/>
      <c r="AF77" s="27"/>
      <c r="AG77" s="29" t="str">
        <f t="shared" si="90"/>
        <v/>
      </c>
      <c r="AH77" s="27"/>
      <c r="AI77" s="27"/>
      <c r="AJ77" s="27"/>
      <c r="AK77" s="29" t="str">
        <f t="shared" si="91"/>
        <v/>
      </c>
      <c r="AL77" s="27"/>
      <c r="AM77" s="27"/>
      <c r="AN77" s="27"/>
      <c r="AO77" s="29" t="str">
        <f t="shared" si="92"/>
        <v/>
      </c>
      <c r="AP77" s="27"/>
      <c r="AQ77" s="27"/>
      <c r="AR77" s="27"/>
      <c r="AS77" s="29" t="str">
        <f t="shared" si="93"/>
        <v/>
      </c>
      <c r="AT77" s="27"/>
      <c r="AU77" s="27"/>
      <c r="AV77" s="27"/>
      <c r="AW77" s="29" t="str">
        <f t="shared" si="94"/>
        <v/>
      </c>
      <c r="AX77" s="24"/>
      <c r="AY77" s="27"/>
      <c r="AZ77" s="27"/>
      <c r="BA77" s="29" t="str">
        <f t="shared" si="95"/>
        <v/>
      </c>
      <c r="BB77" s="27"/>
      <c r="BC77" s="27"/>
      <c r="BD77" s="27"/>
      <c r="BE77" s="29" t="str">
        <f t="shared" si="96"/>
        <v/>
      </c>
      <c r="BF77" s="27"/>
      <c r="BG77" s="27"/>
      <c r="BH77" s="27"/>
      <c r="BI77" s="29" t="str">
        <f t="shared" si="97"/>
        <v/>
      </c>
      <c r="BJ77" s="27"/>
      <c r="BK77" s="27"/>
      <c r="BL77" s="27"/>
      <c r="BM77" s="29" t="str">
        <f t="shared" si="98"/>
        <v/>
      </c>
      <c r="BN77" s="22"/>
      <c r="BO77" s="22"/>
      <c r="BP77" s="27"/>
      <c r="BQ77" s="29" t="str">
        <f t="shared" si="99"/>
        <v/>
      </c>
      <c r="BR77" s="27"/>
      <c r="BS77" s="27"/>
      <c r="BT77" s="27"/>
      <c r="BU77" s="29" t="str">
        <f t="shared" si="100"/>
        <v/>
      </c>
      <c r="BV77" s="27"/>
      <c r="BW77" s="27"/>
      <c r="BX77" s="27"/>
      <c r="BY77" s="29" t="str">
        <f t="shared" si="101"/>
        <v/>
      </c>
      <c r="BZ77" s="27"/>
      <c r="CA77" s="27"/>
      <c r="CB77" s="29" t="str">
        <f t="shared" si="102"/>
        <v/>
      </c>
      <c r="CC77" s="27"/>
      <c r="CD77" s="27"/>
      <c r="CE77" s="29" t="str">
        <f t="shared" si="103"/>
        <v/>
      </c>
      <c r="CF77" s="27"/>
      <c r="CG77" s="27"/>
      <c r="CH77" s="27"/>
      <c r="CI77" s="29" t="str">
        <f t="shared" si="104"/>
        <v/>
      </c>
      <c r="CJ77" s="27"/>
      <c r="CK77" s="27"/>
      <c r="CL77" s="27"/>
      <c r="CM77" s="29" t="str">
        <f t="shared" si="105"/>
        <v/>
      </c>
      <c r="CN77" s="27"/>
      <c r="CO77" s="27"/>
      <c r="CP77" s="27"/>
      <c r="CQ77" s="29" t="str">
        <f t="shared" si="106"/>
        <v/>
      </c>
      <c r="CR77" s="27"/>
      <c r="CS77" s="27"/>
      <c r="CT77" s="29" t="str">
        <f t="shared" si="107"/>
        <v/>
      </c>
      <c r="CU77" s="27"/>
      <c r="CV77" s="27"/>
      <c r="CW77" s="27"/>
      <c r="CX77" s="29" t="str">
        <f t="shared" si="108"/>
        <v/>
      </c>
      <c r="CY77" s="27"/>
      <c r="CZ77" s="27"/>
      <c r="DA77" s="27"/>
      <c r="DB77" s="29" t="str">
        <f t="shared" si="109"/>
        <v/>
      </c>
      <c r="DC77" s="27"/>
      <c r="DD77" s="27"/>
      <c r="DE77" s="29" t="str">
        <f t="shared" si="110"/>
        <v/>
      </c>
      <c r="DF77" s="27"/>
      <c r="DG77" s="27"/>
      <c r="DH77" s="27"/>
      <c r="DI77" s="29" t="str">
        <f t="shared" si="111"/>
        <v/>
      </c>
      <c r="DJ77" s="27"/>
      <c r="DK77" s="27"/>
      <c r="DL77" s="27"/>
      <c r="DM77" s="29" t="str">
        <f t="shared" si="112"/>
        <v/>
      </c>
      <c r="DN77" s="27"/>
      <c r="DO77" s="27"/>
      <c r="DP77" s="27"/>
      <c r="DQ77" s="29" t="str">
        <f t="shared" si="113"/>
        <v/>
      </c>
      <c r="DR77" s="27"/>
      <c r="DS77" s="27"/>
      <c r="DT77" s="27"/>
      <c r="DU77" s="29" t="str">
        <f t="shared" si="114"/>
        <v/>
      </c>
      <c r="DV77" s="27"/>
      <c r="DW77" s="27"/>
      <c r="DX77" s="27"/>
      <c r="DY77" s="29" t="str">
        <f t="shared" si="115"/>
        <v/>
      </c>
      <c r="DZ77" s="27"/>
      <c r="EA77" s="27"/>
      <c r="EB77" s="27"/>
      <c r="EC77" s="29" t="str">
        <f t="shared" si="116"/>
        <v/>
      </c>
      <c r="ED77" s="27"/>
      <c r="EE77" s="27"/>
      <c r="EF77" s="27"/>
      <c r="EG77" s="29" t="str">
        <f t="shared" si="117"/>
        <v/>
      </c>
      <c r="EH77" s="27"/>
      <c r="EI77" s="27"/>
      <c r="EJ77" s="27"/>
      <c r="EK77" s="29" t="str">
        <f t="shared" si="118"/>
        <v/>
      </c>
      <c r="EL77" s="27"/>
      <c r="EM77" s="27"/>
      <c r="EN77" s="27"/>
      <c r="EO77" s="29" t="str">
        <f t="shared" si="119"/>
        <v/>
      </c>
      <c r="EP77" s="27"/>
      <c r="EQ77" s="27"/>
      <c r="ER77" s="27"/>
      <c r="ES77" s="29" t="str">
        <f t="shared" si="120"/>
        <v/>
      </c>
      <c r="ET77" s="27"/>
      <c r="EU77" s="27"/>
      <c r="EV77" s="27"/>
      <c r="EW77" s="29" t="str">
        <f t="shared" si="121"/>
        <v/>
      </c>
      <c r="EX77" s="27"/>
      <c r="EY77" s="27"/>
      <c r="EZ77" s="27"/>
      <c r="FA77" s="29" t="str">
        <f t="shared" si="122"/>
        <v/>
      </c>
      <c r="FB77" s="27"/>
      <c r="FC77" s="27"/>
      <c r="FD77" s="27"/>
      <c r="FE77" s="29" t="str">
        <f t="shared" si="123"/>
        <v/>
      </c>
      <c r="FF77" s="27"/>
      <c r="FG77" s="27"/>
      <c r="FH77" s="27"/>
      <c r="FI77" s="29" t="str">
        <f t="shared" si="124"/>
        <v/>
      </c>
      <c r="FJ77" s="27"/>
      <c r="FK77" s="27"/>
      <c r="FL77" s="27"/>
      <c r="FM77" s="29" t="str">
        <f t="shared" si="125"/>
        <v/>
      </c>
      <c r="FN77" s="27"/>
      <c r="FO77" s="27"/>
      <c r="FP77" s="27"/>
      <c r="FQ77" s="29" t="str">
        <f t="shared" si="126"/>
        <v/>
      </c>
      <c r="FR77" s="27"/>
      <c r="FS77" s="27"/>
      <c r="FT77" s="27"/>
    </row>
    <row r="78" spans="1:176" x14ac:dyDescent="0.2">
      <c r="A78" s="30" t="str">
        <f t="shared" si="82"/>
        <v xml:space="preserve"> </v>
      </c>
      <c r="B78" s="26"/>
      <c r="C78" s="26"/>
      <c r="D78" s="23"/>
      <c r="E78" s="27"/>
      <c r="F78" s="22"/>
      <c r="G78" s="22"/>
      <c r="H78" s="29" t="str">
        <f t="shared" si="83"/>
        <v/>
      </c>
      <c r="I78" s="27"/>
      <c r="J78" s="27"/>
      <c r="K78" s="22"/>
      <c r="L78" s="29" t="str">
        <f t="shared" si="84"/>
        <v/>
      </c>
      <c r="M78" s="27"/>
      <c r="N78" s="27"/>
      <c r="O78" s="22"/>
      <c r="P78" s="29" t="str">
        <f t="shared" si="85"/>
        <v/>
      </c>
      <c r="Q78" s="22"/>
      <c r="R78" s="32" t="str">
        <f t="shared" si="86"/>
        <v/>
      </c>
      <c r="S78" s="24"/>
      <c r="T78" s="22"/>
      <c r="U78" s="31" t="str">
        <f t="shared" si="87"/>
        <v/>
      </c>
      <c r="V78" s="27"/>
      <c r="W78" s="27"/>
      <c r="X78" s="27"/>
      <c r="Y78" s="32" t="str">
        <f t="shared" si="88"/>
        <v/>
      </c>
      <c r="Z78" s="27"/>
      <c r="AA78" s="27"/>
      <c r="AB78" s="27"/>
      <c r="AC78" s="29" t="str">
        <f t="shared" si="89"/>
        <v/>
      </c>
      <c r="AD78" s="27"/>
      <c r="AE78" s="27"/>
      <c r="AF78" s="27"/>
      <c r="AG78" s="29" t="str">
        <f t="shared" si="90"/>
        <v/>
      </c>
      <c r="AH78" s="27"/>
      <c r="AI78" s="27"/>
      <c r="AJ78" s="27"/>
      <c r="AK78" s="29" t="str">
        <f t="shared" si="91"/>
        <v/>
      </c>
      <c r="AL78" s="27"/>
      <c r="AM78" s="27"/>
      <c r="AN78" s="27"/>
      <c r="AO78" s="29" t="str">
        <f t="shared" si="92"/>
        <v/>
      </c>
      <c r="AP78" s="27"/>
      <c r="AQ78" s="27"/>
      <c r="AR78" s="27"/>
      <c r="AS78" s="29" t="str">
        <f t="shared" si="93"/>
        <v/>
      </c>
      <c r="AT78" s="27"/>
      <c r="AU78" s="27"/>
      <c r="AV78" s="27"/>
      <c r="AW78" s="29" t="str">
        <f t="shared" si="94"/>
        <v/>
      </c>
      <c r="AX78" s="24"/>
      <c r="AY78" s="27"/>
      <c r="AZ78" s="27"/>
      <c r="BA78" s="29" t="str">
        <f t="shared" si="95"/>
        <v/>
      </c>
      <c r="BB78" s="27"/>
      <c r="BC78" s="27"/>
      <c r="BD78" s="27"/>
      <c r="BE78" s="29" t="str">
        <f t="shared" si="96"/>
        <v/>
      </c>
      <c r="BF78" s="27"/>
      <c r="BG78" s="27"/>
      <c r="BH78" s="27"/>
      <c r="BI78" s="29" t="str">
        <f t="shared" si="97"/>
        <v/>
      </c>
      <c r="BJ78" s="27"/>
      <c r="BK78" s="27"/>
      <c r="BL78" s="27"/>
      <c r="BM78" s="29" t="str">
        <f t="shared" si="98"/>
        <v/>
      </c>
      <c r="BN78" s="22"/>
      <c r="BO78" s="22"/>
      <c r="BP78" s="27"/>
      <c r="BQ78" s="29" t="str">
        <f t="shared" si="99"/>
        <v/>
      </c>
      <c r="BR78" s="27"/>
      <c r="BS78" s="27"/>
      <c r="BT78" s="27"/>
      <c r="BU78" s="29" t="str">
        <f t="shared" si="100"/>
        <v/>
      </c>
      <c r="BV78" s="27"/>
      <c r="BW78" s="27"/>
      <c r="BX78" s="27"/>
      <c r="BY78" s="29" t="str">
        <f t="shared" si="101"/>
        <v/>
      </c>
      <c r="BZ78" s="27"/>
      <c r="CA78" s="27"/>
      <c r="CB78" s="29" t="str">
        <f t="shared" si="102"/>
        <v/>
      </c>
      <c r="CC78" s="27"/>
      <c r="CD78" s="27"/>
      <c r="CE78" s="29" t="str">
        <f t="shared" si="103"/>
        <v/>
      </c>
      <c r="CF78" s="27"/>
      <c r="CG78" s="27"/>
      <c r="CH78" s="27"/>
      <c r="CI78" s="29" t="str">
        <f t="shared" si="104"/>
        <v/>
      </c>
      <c r="CJ78" s="27"/>
      <c r="CK78" s="27"/>
      <c r="CL78" s="27"/>
      <c r="CM78" s="29" t="str">
        <f t="shared" si="105"/>
        <v/>
      </c>
      <c r="CN78" s="27"/>
      <c r="CO78" s="27"/>
      <c r="CP78" s="27"/>
      <c r="CQ78" s="29" t="str">
        <f t="shared" si="106"/>
        <v/>
      </c>
      <c r="CR78" s="27"/>
      <c r="CS78" s="27"/>
      <c r="CT78" s="29" t="str">
        <f t="shared" si="107"/>
        <v/>
      </c>
      <c r="CU78" s="27"/>
      <c r="CV78" s="27"/>
      <c r="CW78" s="27"/>
      <c r="CX78" s="29" t="str">
        <f t="shared" si="108"/>
        <v/>
      </c>
      <c r="CY78" s="27"/>
      <c r="CZ78" s="27"/>
      <c r="DA78" s="27"/>
      <c r="DB78" s="29" t="str">
        <f t="shared" si="109"/>
        <v/>
      </c>
      <c r="DC78" s="27"/>
      <c r="DD78" s="27"/>
      <c r="DE78" s="29" t="str">
        <f t="shared" si="110"/>
        <v/>
      </c>
      <c r="DF78" s="27"/>
      <c r="DG78" s="27"/>
      <c r="DH78" s="27"/>
      <c r="DI78" s="29" t="str">
        <f t="shared" si="111"/>
        <v/>
      </c>
      <c r="DJ78" s="27"/>
      <c r="DK78" s="27"/>
      <c r="DL78" s="27"/>
      <c r="DM78" s="29" t="str">
        <f t="shared" si="112"/>
        <v/>
      </c>
      <c r="DN78" s="27"/>
      <c r="DO78" s="27"/>
      <c r="DP78" s="27"/>
      <c r="DQ78" s="29" t="str">
        <f t="shared" si="113"/>
        <v/>
      </c>
      <c r="DR78" s="27"/>
      <c r="DS78" s="27"/>
      <c r="DT78" s="27"/>
      <c r="DU78" s="29" t="str">
        <f t="shared" si="114"/>
        <v/>
      </c>
      <c r="DV78" s="27"/>
      <c r="DW78" s="27"/>
      <c r="DX78" s="27"/>
      <c r="DY78" s="29" t="str">
        <f t="shared" si="115"/>
        <v/>
      </c>
      <c r="DZ78" s="27"/>
      <c r="EA78" s="27"/>
      <c r="EB78" s="27"/>
      <c r="EC78" s="29" t="str">
        <f t="shared" si="116"/>
        <v/>
      </c>
      <c r="ED78" s="27"/>
      <c r="EE78" s="27"/>
      <c r="EF78" s="27"/>
      <c r="EG78" s="29" t="str">
        <f t="shared" si="117"/>
        <v/>
      </c>
      <c r="EH78" s="27"/>
      <c r="EI78" s="27"/>
      <c r="EJ78" s="27"/>
      <c r="EK78" s="29" t="str">
        <f t="shared" si="118"/>
        <v/>
      </c>
      <c r="EL78" s="27"/>
      <c r="EM78" s="27"/>
      <c r="EN78" s="27"/>
      <c r="EO78" s="29" t="str">
        <f t="shared" si="119"/>
        <v/>
      </c>
      <c r="EP78" s="27"/>
      <c r="EQ78" s="27"/>
      <c r="ER78" s="27"/>
      <c r="ES78" s="29" t="str">
        <f t="shared" si="120"/>
        <v/>
      </c>
      <c r="ET78" s="27"/>
      <c r="EU78" s="27"/>
      <c r="EV78" s="27"/>
      <c r="EW78" s="29" t="str">
        <f t="shared" si="121"/>
        <v/>
      </c>
      <c r="EX78" s="27"/>
      <c r="EY78" s="27"/>
      <c r="EZ78" s="27"/>
      <c r="FA78" s="29" t="str">
        <f t="shared" si="122"/>
        <v/>
      </c>
      <c r="FB78" s="27"/>
      <c r="FC78" s="27"/>
      <c r="FD78" s="27"/>
      <c r="FE78" s="29" t="str">
        <f t="shared" si="123"/>
        <v/>
      </c>
      <c r="FF78" s="27"/>
      <c r="FG78" s="27"/>
      <c r="FH78" s="27"/>
      <c r="FI78" s="29" t="str">
        <f t="shared" si="124"/>
        <v/>
      </c>
      <c r="FJ78" s="27"/>
      <c r="FK78" s="27"/>
      <c r="FL78" s="27"/>
      <c r="FM78" s="29" t="str">
        <f t="shared" si="125"/>
        <v/>
      </c>
      <c r="FN78" s="27"/>
      <c r="FO78" s="27"/>
      <c r="FP78" s="27"/>
      <c r="FQ78" s="29" t="str">
        <f t="shared" si="126"/>
        <v/>
      </c>
      <c r="FR78" s="27"/>
      <c r="FS78" s="27"/>
      <c r="FT78" s="27"/>
    </row>
  </sheetData>
  <sheetProtection selectLockedCells="1"/>
  <mergeCells count="50">
    <mergeCell ref="M2:M3"/>
    <mergeCell ref="N2:N3"/>
    <mergeCell ref="DC2:DC3"/>
    <mergeCell ref="FR2:FR3"/>
    <mergeCell ref="ED2:EG2"/>
    <mergeCell ref="EH2:EK2"/>
    <mergeCell ref="EL2:EO2"/>
    <mergeCell ref="EP2:ES2"/>
    <mergeCell ref="ET2:EW2"/>
    <mergeCell ref="CU2:CX2"/>
    <mergeCell ref="CY2:DB2"/>
    <mergeCell ref="DF2:DI2"/>
    <mergeCell ref="BN2:BQ2"/>
    <mergeCell ref="CF2:CI2"/>
    <mergeCell ref="CJ2:CM2"/>
    <mergeCell ref="CN2:CQ2"/>
    <mergeCell ref="FS2:FS3"/>
    <mergeCell ref="FT2:FT3"/>
    <mergeCell ref="EX2:FA2"/>
    <mergeCell ref="FB2:FE2"/>
    <mergeCell ref="FF2:FI2"/>
    <mergeCell ref="FJ2:FM2"/>
    <mergeCell ref="FN2:FQ2"/>
    <mergeCell ref="CR2:CT2"/>
    <mergeCell ref="BJ2:BM2"/>
    <mergeCell ref="BR2:BU2"/>
    <mergeCell ref="BV2:BY2"/>
    <mergeCell ref="BZ2:CB2"/>
    <mergeCell ref="CC2:CE2"/>
    <mergeCell ref="Z2:AC2"/>
    <mergeCell ref="AX2:BA2"/>
    <mergeCell ref="BB2:BE2"/>
    <mergeCell ref="BF2:BI2"/>
    <mergeCell ref="A2:A3"/>
    <mergeCell ref="E2:H2"/>
    <mergeCell ref="I2:L2"/>
    <mergeCell ref="V2:Y2"/>
    <mergeCell ref="AD2:AG2"/>
    <mergeCell ref="AH2:AK2"/>
    <mergeCell ref="AL2:AO2"/>
    <mergeCell ref="AP2:AS2"/>
    <mergeCell ref="AT2:AW2"/>
    <mergeCell ref="O2:P2"/>
    <mergeCell ref="Q2:R2"/>
    <mergeCell ref="S2:U2"/>
    <mergeCell ref="DJ2:DM2"/>
    <mergeCell ref="DN2:DQ2"/>
    <mergeCell ref="DR2:DU2"/>
    <mergeCell ref="DV2:DY2"/>
    <mergeCell ref="DZ2:EC2"/>
  </mergeCells>
  <conditionalFormatting sqref="AH3:AI3">
    <cfRule type="duplicateValues" dxfId="27" priority="33"/>
  </conditionalFormatting>
  <conditionalFormatting sqref="AM3">
    <cfRule type="duplicateValues" dxfId="26" priority="32"/>
  </conditionalFormatting>
  <conditionalFormatting sqref="AL3">
    <cfRule type="duplicateValues" dxfId="25" priority="31"/>
  </conditionalFormatting>
  <conditionalFormatting sqref="DC2 BR3:BS3 AT3:AU3 V3:W3 I3:J3 E3:F3 M2:N2 S3 Z3:AA3 AD3:AE3 AP3:AQ3 AX3:AY3 BB3:BC3 BF3:BG3 BJ3:BK3 BV3:BW3 BZ3 CC3 CF3:CG3 CJ3:CK3 CN3:CO3 CR3 CU3:CV3 CY3:CZ3 DF3:DG3">
    <cfRule type="duplicateValues" dxfId="24" priority="45"/>
  </conditionalFormatting>
  <conditionalFormatting sqref="BN3:BO3">
    <cfRule type="duplicateValues" dxfId="23" priority="30"/>
  </conditionalFormatting>
  <conditionalFormatting sqref="DJ3:DK3">
    <cfRule type="duplicateValues" dxfId="22" priority="19"/>
  </conditionalFormatting>
  <conditionalFormatting sqref="DV3:DW3">
    <cfRule type="duplicateValues" dxfId="21" priority="16"/>
  </conditionalFormatting>
  <conditionalFormatting sqref="DZ3:EA3">
    <cfRule type="duplicateValues" dxfId="20" priority="15"/>
  </conditionalFormatting>
  <conditionalFormatting sqref="ED3:EE3">
    <cfRule type="duplicateValues" dxfId="19" priority="14"/>
  </conditionalFormatting>
  <conditionalFormatting sqref="EH3:EI3">
    <cfRule type="duplicateValues" dxfId="18" priority="13"/>
  </conditionalFormatting>
  <conditionalFormatting sqref="EL3:EM3">
    <cfRule type="duplicateValues" dxfId="17" priority="12"/>
  </conditionalFormatting>
  <conditionalFormatting sqref="EP3:EQ3">
    <cfRule type="duplicateValues" dxfId="16" priority="11"/>
  </conditionalFormatting>
  <conditionalFormatting sqref="ET3:EU3">
    <cfRule type="duplicateValues" dxfId="15" priority="10"/>
  </conditionalFormatting>
  <conditionalFormatting sqref="EX3:EY3">
    <cfRule type="duplicateValues" dxfId="14" priority="9"/>
  </conditionalFormatting>
  <conditionalFormatting sqref="FB3:FC3">
    <cfRule type="duplicateValues" dxfId="13" priority="8"/>
  </conditionalFormatting>
  <conditionalFormatting sqref="FF3:FG3">
    <cfRule type="duplicateValues" dxfId="12" priority="7"/>
  </conditionalFormatting>
  <conditionalFormatting sqref="FJ3:FK3">
    <cfRule type="duplicateValues" dxfId="11" priority="6"/>
  </conditionalFormatting>
  <conditionalFormatting sqref="FN3:FO3">
    <cfRule type="duplicateValues" dxfId="10" priority="5"/>
  </conditionalFormatting>
  <conditionalFormatting sqref="FR2:FT2">
    <cfRule type="duplicateValues" dxfId="9" priority="4"/>
  </conditionalFormatting>
  <conditionalFormatting sqref="DR3:DS3">
    <cfRule type="duplicateValues" dxfId="8" priority="2"/>
  </conditionalFormatting>
  <conditionalFormatting sqref="DN3:DO3">
    <cfRule type="duplicateValues" dxfId="7" priority="1"/>
  </conditionalFormatting>
  <pageMargins left="0.75" right="0.75" top="1" bottom="1" header="0.5" footer="0.5"/>
  <pageSetup scale="78" orientation="landscape" horizontalDpi="4294967294" r:id="rId1"/>
  <headerFooter alignWithMargins="0">
    <oddHeader>&amp;LPLCT711_1.5&amp;C&amp;"Arial,Bold"&amp;14Agile Project Workbook&amp;R&amp;G</oddHeader>
    <oddFooter>&amp;CHCLT Confidential&amp;RPage &amp;P of &amp;N</oddFoot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Alert" error="Role entered is not from the Standard list" xr:uid="{00000000-0002-0000-0200-000000000000}">
          <x14:formula1>
            <xm:f>Conventional_Metrics_Guide!$K$2:$AJ$2</xm:f>
          </x14:formula1>
          <xm:sqref>D5:D78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E33"/>
  <sheetViews>
    <sheetView zoomScale="85" zoomScaleNormal="85" workbookViewId="0">
      <selection activeCell="A8" sqref="A8"/>
    </sheetView>
  </sheetViews>
  <sheetFormatPr defaultRowHeight="12.75" x14ac:dyDescent="0.25"/>
  <cols>
    <col min="1" max="1" width="5.42578125" style="34" customWidth="1"/>
    <col min="2" max="5" width="7.5703125" style="34" customWidth="1"/>
    <col min="6" max="6" width="20" style="34" hidden="1" customWidth="1"/>
    <col min="7" max="7" width="30.5703125" style="34" customWidth="1"/>
    <col min="8" max="8" width="28.42578125" style="34" customWidth="1"/>
    <col min="9" max="9" width="26.5703125" style="34" customWidth="1"/>
    <col min="10" max="17" width="9.140625" style="34"/>
    <col min="18" max="18" width="0" style="34" hidden="1" customWidth="1"/>
    <col min="19" max="16384" width="9.140625" style="34"/>
  </cols>
  <sheetData>
    <row r="1" spans="1:31" x14ac:dyDescent="0.25">
      <c r="B1" s="85" t="s">
        <v>141</v>
      </c>
      <c r="C1" s="85"/>
      <c r="D1" s="85"/>
      <c r="E1" s="85"/>
      <c r="G1" s="86" t="s">
        <v>142</v>
      </c>
      <c r="H1" s="87"/>
      <c r="I1" s="87"/>
      <c r="J1" s="88"/>
    </row>
    <row r="2" spans="1:31" ht="63.75" x14ac:dyDescent="0.25">
      <c r="B2" s="10" t="s">
        <v>143</v>
      </c>
      <c r="C2" s="10" t="s">
        <v>144</v>
      </c>
      <c r="D2" s="10" t="s">
        <v>145</v>
      </c>
      <c r="E2" s="11" t="s">
        <v>146</v>
      </c>
      <c r="F2" s="33" t="s">
        <v>147</v>
      </c>
      <c r="G2" s="33" t="s">
        <v>148</v>
      </c>
      <c r="H2" s="33" t="s">
        <v>149</v>
      </c>
      <c r="I2" s="33" t="s">
        <v>150</v>
      </c>
      <c r="J2" s="33" t="s">
        <v>151</v>
      </c>
      <c r="K2" s="10" t="s">
        <v>152</v>
      </c>
      <c r="L2" s="10" t="s">
        <v>153</v>
      </c>
      <c r="M2" s="10" t="s">
        <v>154</v>
      </c>
      <c r="N2" s="10" t="s">
        <v>155</v>
      </c>
      <c r="O2" s="10" t="s">
        <v>156</v>
      </c>
      <c r="P2" s="12" t="s">
        <v>157</v>
      </c>
      <c r="Q2" s="10" t="s">
        <v>158</v>
      </c>
      <c r="R2" s="10" t="s">
        <v>159</v>
      </c>
      <c r="S2" s="10" t="s">
        <v>160</v>
      </c>
      <c r="T2" s="10" t="s">
        <v>161</v>
      </c>
      <c r="U2" s="10" t="s">
        <v>162</v>
      </c>
      <c r="V2" s="10" t="s">
        <v>163</v>
      </c>
      <c r="W2" s="10" t="s">
        <v>164</v>
      </c>
      <c r="X2" s="10" t="s">
        <v>165</v>
      </c>
      <c r="Y2" s="10" t="s">
        <v>166</v>
      </c>
      <c r="Z2" s="10" t="s">
        <v>167</v>
      </c>
      <c r="AA2" s="10" t="s">
        <v>168</v>
      </c>
      <c r="AB2" s="10" t="s">
        <v>169</v>
      </c>
      <c r="AC2" s="10" t="s">
        <v>170</v>
      </c>
      <c r="AD2" s="10" t="s">
        <v>171</v>
      </c>
      <c r="AE2" s="10" t="s">
        <v>172</v>
      </c>
    </row>
    <row r="3" spans="1:31" ht="25.5" x14ac:dyDescent="0.25">
      <c r="A3" s="35" t="s">
        <v>173</v>
      </c>
      <c r="B3" s="89" t="s">
        <v>174</v>
      </c>
      <c r="C3" s="90"/>
      <c r="D3" s="90"/>
      <c r="E3" s="90"/>
      <c r="F3" s="90"/>
      <c r="G3" s="90"/>
      <c r="H3" s="90"/>
      <c r="I3" s="90"/>
      <c r="J3" s="91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</row>
    <row r="4" spans="1:31" ht="63.75" x14ac:dyDescent="0.25">
      <c r="A4" s="37">
        <v>1</v>
      </c>
      <c r="B4" s="36" t="s">
        <v>175</v>
      </c>
      <c r="C4" s="36" t="s">
        <v>175</v>
      </c>
      <c r="D4" s="36" t="s">
        <v>175</v>
      </c>
      <c r="E4" s="36"/>
      <c r="F4" s="38" t="s">
        <v>176</v>
      </c>
      <c r="G4" s="38" t="s">
        <v>72</v>
      </c>
      <c r="H4" s="38" t="s">
        <v>177</v>
      </c>
      <c r="I4" s="39" t="s">
        <v>178</v>
      </c>
      <c r="J4" s="38" t="s">
        <v>179</v>
      </c>
      <c r="K4" s="36" t="s">
        <v>175</v>
      </c>
      <c r="L4" s="36" t="s">
        <v>175</v>
      </c>
      <c r="M4" s="36" t="s">
        <v>175</v>
      </c>
      <c r="N4" s="36" t="s">
        <v>175</v>
      </c>
      <c r="O4" s="36" t="s">
        <v>175</v>
      </c>
      <c r="P4" s="36" t="s">
        <v>175</v>
      </c>
      <c r="Q4" s="36" t="s">
        <v>175</v>
      </c>
      <c r="R4" s="36"/>
      <c r="S4" s="36" t="s">
        <v>175</v>
      </c>
      <c r="T4" s="36"/>
      <c r="U4" s="36" t="s">
        <v>175</v>
      </c>
      <c r="V4" s="36" t="s">
        <v>175</v>
      </c>
      <c r="W4" s="36" t="s">
        <v>175</v>
      </c>
      <c r="X4" s="36" t="s">
        <v>175</v>
      </c>
      <c r="Y4" s="36"/>
      <c r="Z4" s="36" t="s">
        <v>175</v>
      </c>
      <c r="AA4" s="36" t="s">
        <v>175</v>
      </c>
      <c r="AB4" s="36"/>
      <c r="AC4" s="36"/>
      <c r="AD4" s="36"/>
      <c r="AE4" s="36" t="s">
        <v>175</v>
      </c>
    </row>
    <row r="5" spans="1:31" ht="51" x14ac:dyDescent="0.25">
      <c r="A5" s="37">
        <v>2</v>
      </c>
      <c r="B5" s="36" t="s">
        <v>175</v>
      </c>
      <c r="C5" s="36" t="s">
        <v>175</v>
      </c>
      <c r="D5" s="36"/>
      <c r="E5" s="36"/>
      <c r="F5" s="38" t="s">
        <v>180</v>
      </c>
      <c r="G5" s="38" t="s">
        <v>73</v>
      </c>
      <c r="H5" s="38" t="s">
        <v>181</v>
      </c>
      <c r="I5" s="39" t="s">
        <v>182</v>
      </c>
      <c r="J5" s="38" t="s">
        <v>179</v>
      </c>
      <c r="K5" s="36" t="s">
        <v>175</v>
      </c>
      <c r="L5" s="36"/>
      <c r="M5" s="36"/>
      <c r="N5" s="36" t="s">
        <v>175</v>
      </c>
      <c r="O5" s="36"/>
      <c r="P5" s="36" t="s">
        <v>175</v>
      </c>
      <c r="Q5" s="36" t="s">
        <v>175</v>
      </c>
      <c r="R5" s="36"/>
      <c r="S5" s="36" t="s">
        <v>175</v>
      </c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 t="s">
        <v>175</v>
      </c>
    </row>
    <row r="6" spans="1:31" ht="76.5" x14ac:dyDescent="0.25">
      <c r="A6" s="37">
        <v>3</v>
      </c>
      <c r="B6" s="36" t="s">
        <v>175</v>
      </c>
      <c r="C6" s="36" t="s">
        <v>175</v>
      </c>
      <c r="D6" s="36"/>
      <c r="E6" s="36"/>
      <c r="F6" s="38" t="s">
        <v>180</v>
      </c>
      <c r="G6" s="38" t="s">
        <v>75</v>
      </c>
      <c r="H6" s="38" t="s">
        <v>183</v>
      </c>
      <c r="I6" s="39" t="s">
        <v>184</v>
      </c>
      <c r="J6" s="38" t="s">
        <v>185</v>
      </c>
      <c r="K6" s="36" t="s">
        <v>175</v>
      </c>
      <c r="L6" s="36"/>
      <c r="M6" s="36"/>
      <c r="N6" s="36" t="s">
        <v>175</v>
      </c>
      <c r="O6" s="36"/>
      <c r="P6" s="36" t="s">
        <v>175</v>
      </c>
      <c r="Q6" s="36" t="s">
        <v>175</v>
      </c>
      <c r="R6" s="36"/>
      <c r="S6" s="36" t="s">
        <v>175</v>
      </c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  <c r="AE6" s="36"/>
    </row>
    <row r="7" spans="1:31" ht="76.5" x14ac:dyDescent="0.25">
      <c r="A7" s="37">
        <v>4</v>
      </c>
      <c r="B7" s="36" t="s">
        <v>175</v>
      </c>
      <c r="C7" s="36" t="s">
        <v>175</v>
      </c>
      <c r="D7" s="36"/>
      <c r="E7" s="36"/>
      <c r="F7" s="38" t="s">
        <v>180</v>
      </c>
      <c r="G7" s="38" t="s">
        <v>76</v>
      </c>
      <c r="H7" s="38" t="s">
        <v>183</v>
      </c>
      <c r="I7" s="39" t="s">
        <v>184</v>
      </c>
      <c r="J7" s="38" t="s">
        <v>185</v>
      </c>
      <c r="K7" s="36" t="s">
        <v>175</v>
      </c>
      <c r="L7" s="36"/>
      <c r="M7" s="36"/>
      <c r="N7" s="36" t="s">
        <v>175</v>
      </c>
      <c r="O7" s="36"/>
      <c r="P7" s="36" t="s">
        <v>175</v>
      </c>
      <c r="Q7" s="36" t="s">
        <v>175</v>
      </c>
      <c r="R7" s="36"/>
      <c r="S7" s="36" t="s">
        <v>175</v>
      </c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 t="s">
        <v>175</v>
      </c>
    </row>
    <row r="8" spans="1:31" ht="102" x14ac:dyDescent="0.25">
      <c r="A8" s="37">
        <v>5</v>
      </c>
      <c r="B8" s="36" t="s">
        <v>175</v>
      </c>
      <c r="C8" s="36" t="s">
        <v>175</v>
      </c>
      <c r="D8" s="36"/>
      <c r="E8" s="36"/>
      <c r="F8" s="38" t="s">
        <v>180</v>
      </c>
      <c r="G8" s="38" t="s">
        <v>77</v>
      </c>
      <c r="H8" s="40" t="s">
        <v>186</v>
      </c>
      <c r="I8" s="41" t="s">
        <v>187</v>
      </c>
      <c r="J8" s="38" t="s">
        <v>185</v>
      </c>
      <c r="K8" s="36" t="s">
        <v>175</v>
      </c>
      <c r="L8" s="36"/>
      <c r="M8" s="36"/>
      <c r="N8" s="36" t="s">
        <v>175</v>
      </c>
      <c r="O8" s="36"/>
      <c r="P8" s="36" t="s">
        <v>175</v>
      </c>
      <c r="Q8" s="36" t="s">
        <v>175</v>
      </c>
      <c r="R8" s="36"/>
      <c r="S8" s="36" t="s">
        <v>175</v>
      </c>
      <c r="T8" s="36"/>
      <c r="U8" s="36"/>
      <c r="V8" s="36"/>
      <c r="W8" s="36"/>
      <c r="X8" s="36"/>
      <c r="Y8" s="36"/>
      <c r="Z8" s="36"/>
      <c r="AA8" s="36"/>
      <c r="AB8" s="36"/>
      <c r="AC8" s="36"/>
      <c r="AD8" s="36"/>
      <c r="AE8" s="36" t="s">
        <v>175</v>
      </c>
    </row>
    <row r="9" spans="1:31" ht="38.25" x14ac:dyDescent="0.25">
      <c r="A9" s="37">
        <v>6</v>
      </c>
      <c r="B9" s="36" t="s">
        <v>175</v>
      </c>
      <c r="C9" s="36"/>
      <c r="D9" s="36" t="s">
        <v>175</v>
      </c>
      <c r="E9" s="36"/>
      <c r="F9" s="38" t="s">
        <v>188</v>
      </c>
      <c r="G9" s="38" t="s">
        <v>78</v>
      </c>
      <c r="H9" s="38" t="s">
        <v>189</v>
      </c>
      <c r="I9" s="39" t="s">
        <v>190</v>
      </c>
      <c r="J9" s="38" t="s">
        <v>191</v>
      </c>
      <c r="K9" s="36"/>
      <c r="L9" s="36" t="s">
        <v>175</v>
      </c>
      <c r="M9" s="36" t="s">
        <v>175</v>
      </c>
      <c r="N9" s="36" t="s">
        <v>175</v>
      </c>
      <c r="O9" s="36"/>
      <c r="P9" s="36" t="s">
        <v>175</v>
      </c>
      <c r="Q9" s="36" t="s">
        <v>175</v>
      </c>
      <c r="R9" s="36"/>
      <c r="S9" s="36"/>
      <c r="T9" s="36"/>
      <c r="U9" s="36" t="s">
        <v>175</v>
      </c>
      <c r="V9" s="36"/>
      <c r="W9" s="36"/>
      <c r="X9" s="36"/>
      <c r="Y9" s="36"/>
      <c r="Z9" s="36"/>
      <c r="AA9" s="36"/>
      <c r="AB9" s="36"/>
      <c r="AC9" s="36"/>
      <c r="AD9" s="36"/>
      <c r="AE9" s="36"/>
    </row>
    <row r="10" spans="1:31" ht="51" x14ac:dyDescent="0.25">
      <c r="A10" s="37">
        <v>7</v>
      </c>
      <c r="B10" s="36"/>
      <c r="C10" s="36"/>
      <c r="D10" s="36" t="s">
        <v>175</v>
      </c>
      <c r="E10" s="36"/>
      <c r="F10" s="38" t="s">
        <v>176</v>
      </c>
      <c r="G10" s="38" t="s">
        <v>80</v>
      </c>
      <c r="H10" s="38" t="s">
        <v>192</v>
      </c>
      <c r="I10" s="39" t="s">
        <v>193</v>
      </c>
      <c r="J10" s="38" t="s">
        <v>191</v>
      </c>
      <c r="K10" s="36"/>
      <c r="L10" s="36" t="s">
        <v>175</v>
      </c>
      <c r="M10" s="36"/>
      <c r="N10" s="36" t="s">
        <v>175</v>
      </c>
      <c r="O10" s="36"/>
      <c r="P10" s="36" t="s">
        <v>175</v>
      </c>
      <c r="Q10" s="36" t="s">
        <v>175</v>
      </c>
      <c r="R10" s="36"/>
      <c r="S10" s="36" t="s">
        <v>175</v>
      </c>
      <c r="T10" s="36"/>
      <c r="U10" s="36" t="s">
        <v>175</v>
      </c>
      <c r="V10" s="36"/>
      <c r="W10" s="36"/>
      <c r="X10" s="36"/>
      <c r="Y10" s="36"/>
      <c r="Z10" s="36"/>
      <c r="AA10" s="36" t="s">
        <v>175</v>
      </c>
      <c r="AB10" s="36"/>
      <c r="AC10" s="36"/>
      <c r="AD10" s="36"/>
      <c r="AE10" s="36"/>
    </row>
    <row r="11" spans="1:31" ht="38.25" x14ac:dyDescent="0.25">
      <c r="A11" s="37">
        <v>8</v>
      </c>
      <c r="B11" s="36"/>
      <c r="C11" s="36"/>
      <c r="D11" s="36" t="s">
        <v>175</v>
      </c>
      <c r="E11" s="36"/>
      <c r="F11" s="38" t="s">
        <v>194</v>
      </c>
      <c r="G11" s="38" t="s">
        <v>81</v>
      </c>
      <c r="H11" s="38" t="s">
        <v>195</v>
      </c>
      <c r="I11" s="39" t="s">
        <v>196</v>
      </c>
      <c r="J11" s="38" t="s">
        <v>197</v>
      </c>
      <c r="K11" s="36"/>
      <c r="L11" s="36" t="s">
        <v>175</v>
      </c>
      <c r="M11" s="36" t="s">
        <v>175</v>
      </c>
      <c r="N11" s="36" t="s">
        <v>175</v>
      </c>
      <c r="O11" s="36"/>
      <c r="P11" s="36" t="s">
        <v>175</v>
      </c>
      <c r="Q11" s="36" t="s">
        <v>175</v>
      </c>
      <c r="R11" s="36"/>
      <c r="S11" s="36"/>
      <c r="T11" s="36"/>
      <c r="U11" s="36" t="s">
        <v>175</v>
      </c>
      <c r="V11" s="36"/>
      <c r="W11" s="36"/>
      <c r="X11" s="36"/>
      <c r="Y11" s="36"/>
      <c r="Z11" s="36"/>
      <c r="AA11" s="36"/>
      <c r="AB11" s="36"/>
      <c r="AC11" s="36"/>
      <c r="AD11" s="36"/>
      <c r="AE11" s="36"/>
    </row>
    <row r="12" spans="1:31" ht="38.25" x14ac:dyDescent="0.25">
      <c r="A12" s="37">
        <v>9</v>
      </c>
      <c r="B12" s="36"/>
      <c r="C12" s="36"/>
      <c r="D12" s="36" t="s">
        <v>175</v>
      </c>
      <c r="E12" s="36"/>
      <c r="F12" s="38" t="s">
        <v>194</v>
      </c>
      <c r="G12" s="38" t="s">
        <v>82</v>
      </c>
      <c r="H12" s="38" t="s">
        <v>198</v>
      </c>
      <c r="I12" s="39" t="s">
        <v>196</v>
      </c>
      <c r="J12" s="38" t="s">
        <v>197</v>
      </c>
      <c r="K12" s="36"/>
      <c r="L12" s="36" t="s">
        <v>175</v>
      </c>
      <c r="M12" s="36" t="s">
        <v>175</v>
      </c>
      <c r="N12" s="36"/>
      <c r="O12" s="36"/>
      <c r="P12" s="36"/>
      <c r="Q12" s="36"/>
      <c r="R12" s="36"/>
      <c r="S12" s="36"/>
      <c r="T12" s="36"/>
      <c r="U12" s="36" t="s">
        <v>175</v>
      </c>
      <c r="V12" s="36"/>
      <c r="W12" s="36"/>
      <c r="X12" s="36"/>
      <c r="Y12" s="36"/>
      <c r="Z12" s="36"/>
      <c r="AA12" s="36"/>
      <c r="AB12" s="36"/>
      <c r="AC12" s="36"/>
      <c r="AD12" s="36"/>
      <c r="AE12" s="36"/>
    </row>
    <row r="13" spans="1:31" ht="38.25" x14ac:dyDescent="0.25">
      <c r="A13" s="37">
        <v>10</v>
      </c>
      <c r="B13" s="36"/>
      <c r="C13" s="36"/>
      <c r="D13" s="36" t="s">
        <v>175</v>
      </c>
      <c r="E13" s="36"/>
      <c r="F13" s="38" t="s">
        <v>194</v>
      </c>
      <c r="G13" s="38" t="s">
        <v>83</v>
      </c>
      <c r="H13" s="38" t="s">
        <v>199</v>
      </c>
      <c r="I13" s="39" t="s">
        <v>196</v>
      </c>
      <c r="J13" s="38" t="s">
        <v>197</v>
      </c>
      <c r="K13" s="36"/>
      <c r="L13" s="36" t="s">
        <v>175</v>
      </c>
      <c r="M13" s="36" t="s">
        <v>175</v>
      </c>
      <c r="N13" s="36"/>
      <c r="O13" s="36"/>
      <c r="P13" s="36"/>
      <c r="Q13" s="36"/>
      <c r="R13" s="36"/>
      <c r="S13" s="36"/>
      <c r="T13" s="36"/>
      <c r="U13" s="36" t="s">
        <v>175</v>
      </c>
      <c r="V13" s="36"/>
      <c r="W13" s="36"/>
      <c r="X13" s="36"/>
      <c r="Y13" s="36"/>
      <c r="Z13" s="36"/>
      <c r="AA13" s="36"/>
      <c r="AB13" s="36"/>
      <c r="AC13" s="36"/>
      <c r="AD13" s="36"/>
      <c r="AE13" s="36"/>
    </row>
    <row r="14" spans="1:31" ht="63.75" x14ac:dyDescent="0.25">
      <c r="A14" s="13">
        <v>1</v>
      </c>
      <c r="B14" s="36" t="s">
        <v>175</v>
      </c>
      <c r="C14" s="36" t="s">
        <v>175</v>
      </c>
      <c r="D14" s="36" t="s">
        <v>175</v>
      </c>
      <c r="E14" s="36" t="s">
        <v>175</v>
      </c>
      <c r="F14" s="38" t="s">
        <v>176</v>
      </c>
      <c r="G14" s="42" t="s">
        <v>86</v>
      </c>
      <c r="H14" s="38" t="s">
        <v>200</v>
      </c>
      <c r="I14" s="38" t="s">
        <v>201</v>
      </c>
      <c r="J14" s="38" t="s">
        <v>191</v>
      </c>
      <c r="K14" s="36" t="s">
        <v>175</v>
      </c>
      <c r="L14" s="36" t="s">
        <v>175</v>
      </c>
      <c r="M14" s="36" t="s">
        <v>175</v>
      </c>
      <c r="N14" s="36" t="s">
        <v>175</v>
      </c>
      <c r="O14" s="36" t="s">
        <v>175</v>
      </c>
      <c r="P14" s="36" t="s">
        <v>175</v>
      </c>
      <c r="Q14" s="36"/>
      <c r="R14" s="36" t="s">
        <v>175</v>
      </c>
      <c r="S14" s="36" t="s">
        <v>175</v>
      </c>
      <c r="T14" s="36" t="s">
        <v>175</v>
      </c>
      <c r="U14" s="36" t="s">
        <v>175</v>
      </c>
      <c r="V14" s="36" t="s">
        <v>175</v>
      </c>
      <c r="W14" s="36" t="s">
        <v>175</v>
      </c>
      <c r="X14" s="36" t="s">
        <v>175</v>
      </c>
      <c r="Y14" s="36" t="s">
        <v>175</v>
      </c>
      <c r="Z14" s="36" t="s">
        <v>175</v>
      </c>
      <c r="AA14" s="36" t="s">
        <v>175</v>
      </c>
      <c r="AB14" s="36" t="s">
        <v>175</v>
      </c>
      <c r="AC14" s="36" t="s">
        <v>175</v>
      </c>
      <c r="AD14" s="36" t="s">
        <v>175</v>
      </c>
      <c r="AE14" s="36"/>
    </row>
    <row r="15" spans="1:31" ht="76.5" x14ac:dyDescent="0.25">
      <c r="A15" s="13">
        <v>2</v>
      </c>
      <c r="B15" s="36" t="s">
        <v>175</v>
      </c>
      <c r="C15" s="36" t="s">
        <v>175</v>
      </c>
      <c r="D15" s="36" t="s">
        <v>175</v>
      </c>
      <c r="E15" s="36" t="s">
        <v>175</v>
      </c>
      <c r="F15" s="38" t="s">
        <v>188</v>
      </c>
      <c r="G15" s="42" t="s">
        <v>88</v>
      </c>
      <c r="H15" s="38" t="s">
        <v>202</v>
      </c>
      <c r="I15" s="38" t="s">
        <v>203</v>
      </c>
      <c r="J15" s="38" t="s">
        <v>191</v>
      </c>
      <c r="K15" s="36"/>
      <c r="L15" s="36" t="s">
        <v>175</v>
      </c>
      <c r="M15" s="36" t="s">
        <v>175</v>
      </c>
      <c r="N15" s="36"/>
      <c r="O15" s="36"/>
      <c r="P15" s="36"/>
      <c r="Q15" s="36"/>
      <c r="R15" s="36"/>
      <c r="S15" s="36"/>
      <c r="T15" s="36"/>
      <c r="U15" s="36" t="s">
        <v>175</v>
      </c>
      <c r="V15" s="36"/>
      <c r="W15" s="36"/>
      <c r="X15" s="36"/>
      <c r="Y15" s="36"/>
      <c r="Z15" s="36"/>
      <c r="AA15" s="36"/>
      <c r="AB15" s="36"/>
      <c r="AC15" s="36"/>
      <c r="AD15" s="36"/>
      <c r="AE15" s="36"/>
    </row>
    <row r="16" spans="1:31" ht="25.5" x14ac:dyDescent="0.25">
      <c r="A16" s="13">
        <v>3</v>
      </c>
      <c r="B16" s="36" t="s">
        <v>175</v>
      </c>
      <c r="C16" s="36" t="s">
        <v>175</v>
      </c>
      <c r="D16" s="36" t="s">
        <v>175</v>
      </c>
      <c r="E16" s="36" t="s">
        <v>175</v>
      </c>
      <c r="F16" s="38" t="s">
        <v>188</v>
      </c>
      <c r="G16" s="42" t="s">
        <v>89</v>
      </c>
      <c r="H16" s="38" t="s">
        <v>204</v>
      </c>
      <c r="I16" s="38" t="s">
        <v>205</v>
      </c>
      <c r="J16" s="38" t="s">
        <v>191</v>
      </c>
      <c r="K16" s="36"/>
      <c r="L16" s="36" t="s">
        <v>175</v>
      </c>
      <c r="M16" s="36" t="s">
        <v>175</v>
      </c>
      <c r="N16" s="36"/>
      <c r="O16" s="36"/>
      <c r="P16" s="36"/>
      <c r="Q16" s="36"/>
      <c r="R16" s="36"/>
      <c r="S16" s="36"/>
      <c r="T16" s="36"/>
      <c r="U16" s="36" t="s">
        <v>175</v>
      </c>
      <c r="V16" s="36"/>
      <c r="W16" s="36"/>
      <c r="X16" s="36"/>
      <c r="Y16" s="36"/>
      <c r="Z16" s="36"/>
      <c r="AA16" s="36"/>
      <c r="AB16" s="36"/>
      <c r="AC16" s="36"/>
      <c r="AD16" s="36"/>
      <c r="AE16" s="36"/>
    </row>
    <row r="17" spans="1:31" ht="89.25" x14ac:dyDescent="0.25">
      <c r="A17" s="37">
        <v>4</v>
      </c>
      <c r="B17" s="36" t="s">
        <v>175</v>
      </c>
      <c r="C17" s="36" t="s">
        <v>175</v>
      </c>
      <c r="D17" s="36" t="s">
        <v>175</v>
      </c>
      <c r="E17" s="36" t="s">
        <v>175</v>
      </c>
      <c r="F17" s="38"/>
      <c r="G17" s="42" t="s">
        <v>90</v>
      </c>
      <c r="H17" s="38" t="s">
        <v>206</v>
      </c>
      <c r="I17" s="38" t="s">
        <v>245</v>
      </c>
      <c r="J17" s="36" t="s">
        <v>191</v>
      </c>
      <c r="K17" s="13" t="s">
        <v>175</v>
      </c>
      <c r="L17" s="13" t="s">
        <v>175</v>
      </c>
      <c r="M17" s="13" t="s">
        <v>175</v>
      </c>
      <c r="N17" s="13" t="s">
        <v>175</v>
      </c>
      <c r="O17" s="36"/>
      <c r="P17" s="13" t="s">
        <v>175</v>
      </c>
      <c r="Q17" s="13" t="s">
        <v>175</v>
      </c>
      <c r="R17" s="36"/>
      <c r="S17" s="13" t="s">
        <v>175</v>
      </c>
      <c r="T17" s="36"/>
      <c r="U17" s="13" t="s">
        <v>175</v>
      </c>
      <c r="V17" s="36"/>
      <c r="W17" s="36"/>
      <c r="X17" s="36"/>
      <c r="Y17" s="36"/>
      <c r="Z17" s="36"/>
      <c r="AA17" s="36"/>
      <c r="AB17" s="13" t="s">
        <v>175</v>
      </c>
      <c r="AC17" s="36"/>
      <c r="AD17" s="36"/>
      <c r="AE17" s="36"/>
    </row>
    <row r="18" spans="1:31" ht="76.5" x14ac:dyDescent="0.25">
      <c r="A18" s="37">
        <v>5</v>
      </c>
      <c r="B18" s="36"/>
      <c r="C18" s="36" t="s">
        <v>175</v>
      </c>
      <c r="D18" s="36" t="s">
        <v>175</v>
      </c>
      <c r="E18" s="36" t="s">
        <v>175</v>
      </c>
      <c r="F18" s="38"/>
      <c r="G18" s="42" t="s">
        <v>92</v>
      </c>
      <c r="H18" s="43" t="s">
        <v>207</v>
      </c>
      <c r="I18" s="43" t="s">
        <v>208</v>
      </c>
      <c r="J18" s="44" t="s">
        <v>191</v>
      </c>
      <c r="K18" s="13"/>
      <c r="L18" s="13" t="s">
        <v>175</v>
      </c>
      <c r="M18" s="13" t="s">
        <v>175</v>
      </c>
      <c r="N18" s="13" t="s">
        <v>175</v>
      </c>
      <c r="O18" s="36"/>
      <c r="P18" s="13" t="s">
        <v>175</v>
      </c>
      <c r="Q18" s="13" t="s">
        <v>175</v>
      </c>
      <c r="R18" s="36"/>
      <c r="S18" s="13" t="s">
        <v>175</v>
      </c>
      <c r="T18" s="36"/>
      <c r="U18" s="13"/>
      <c r="V18" s="13" t="s">
        <v>175</v>
      </c>
      <c r="W18" s="36"/>
      <c r="X18" s="36"/>
      <c r="Y18" s="36"/>
      <c r="Z18" s="13" t="s">
        <v>175</v>
      </c>
      <c r="AA18" s="13" t="s">
        <v>175</v>
      </c>
      <c r="AB18" s="13" t="s">
        <v>175</v>
      </c>
      <c r="AC18" s="36"/>
      <c r="AD18" s="36"/>
      <c r="AE18" s="13" t="s">
        <v>175</v>
      </c>
    </row>
    <row r="19" spans="1:31" ht="63.75" x14ac:dyDescent="0.25">
      <c r="A19" s="37">
        <v>6</v>
      </c>
      <c r="B19" s="36" t="s">
        <v>175</v>
      </c>
      <c r="C19" s="36" t="s">
        <v>175</v>
      </c>
      <c r="D19" s="36"/>
      <c r="E19" s="36"/>
      <c r="F19" s="38"/>
      <c r="G19" s="42" t="s">
        <v>94</v>
      </c>
      <c r="H19" s="45" t="s">
        <v>209</v>
      </c>
      <c r="I19" s="45" t="s">
        <v>210</v>
      </c>
      <c r="J19" s="14" t="s">
        <v>191</v>
      </c>
      <c r="K19" s="13" t="s">
        <v>175</v>
      </c>
      <c r="L19" s="13"/>
      <c r="M19" s="13"/>
      <c r="N19" s="13" t="s">
        <v>175</v>
      </c>
      <c r="O19" s="36"/>
      <c r="P19" s="13"/>
      <c r="Q19" s="13"/>
      <c r="R19" s="36"/>
      <c r="S19" s="13" t="s">
        <v>175</v>
      </c>
      <c r="T19" s="36"/>
      <c r="U19" s="13"/>
      <c r="V19" s="13"/>
      <c r="W19" s="36"/>
      <c r="X19" s="36"/>
      <c r="Y19" s="36"/>
      <c r="Z19" s="13"/>
      <c r="AA19" s="13" t="s">
        <v>175</v>
      </c>
      <c r="AB19" s="13"/>
      <c r="AC19" s="36"/>
      <c r="AD19" s="36"/>
      <c r="AE19" s="13" t="s">
        <v>175</v>
      </c>
    </row>
    <row r="20" spans="1:31" ht="38.25" x14ac:dyDescent="0.25">
      <c r="A20" s="37">
        <v>7</v>
      </c>
      <c r="B20" s="36"/>
      <c r="C20" s="36" t="s">
        <v>175</v>
      </c>
      <c r="D20" s="36" t="s">
        <v>175</v>
      </c>
      <c r="E20" s="36" t="s">
        <v>175</v>
      </c>
      <c r="F20" s="38"/>
      <c r="G20" s="42" t="s">
        <v>109</v>
      </c>
      <c r="H20" s="45" t="s">
        <v>211</v>
      </c>
      <c r="I20" s="45" t="s">
        <v>212</v>
      </c>
      <c r="J20" s="38" t="s">
        <v>191</v>
      </c>
      <c r="K20" s="13"/>
      <c r="L20" s="13" t="s">
        <v>175</v>
      </c>
      <c r="M20" s="13" t="s">
        <v>175</v>
      </c>
      <c r="N20" s="13" t="s">
        <v>175</v>
      </c>
      <c r="O20" s="36"/>
      <c r="P20" s="13"/>
      <c r="Q20" s="13"/>
      <c r="R20" s="36"/>
      <c r="S20" s="13"/>
      <c r="T20" s="36"/>
      <c r="U20" s="13" t="s">
        <v>175</v>
      </c>
      <c r="V20" s="36"/>
      <c r="W20" s="36"/>
      <c r="X20" s="36"/>
      <c r="Y20" s="36"/>
      <c r="Z20" s="13"/>
      <c r="AA20" s="13" t="s">
        <v>175</v>
      </c>
      <c r="AB20" s="13"/>
      <c r="AC20" s="36"/>
      <c r="AD20" s="36"/>
      <c r="AE20" s="13"/>
    </row>
    <row r="21" spans="1:31" ht="63.75" x14ac:dyDescent="0.25">
      <c r="A21" s="37">
        <v>8</v>
      </c>
      <c r="B21" s="36" t="s">
        <v>175</v>
      </c>
      <c r="C21" s="36" t="s">
        <v>175</v>
      </c>
      <c r="D21" s="36" t="s">
        <v>175</v>
      </c>
      <c r="E21" s="36" t="s">
        <v>175</v>
      </c>
      <c r="F21" s="38"/>
      <c r="G21" s="42" t="s">
        <v>95</v>
      </c>
      <c r="H21" s="43" t="s">
        <v>213</v>
      </c>
      <c r="I21" s="43" t="s">
        <v>214</v>
      </c>
      <c r="J21" s="36" t="s">
        <v>191</v>
      </c>
      <c r="K21" s="13" t="s">
        <v>175</v>
      </c>
      <c r="L21" s="13"/>
      <c r="M21" s="13"/>
      <c r="N21" s="13" t="s">
        <v>175</v>
      </c>
      <c r="O21" s="36"/>
      <c r="P21" s="13"/>
      <c r="Q21" s="13"/>
      <c r="R21" s="36"/>
      <c r="S21" s="13" t="s">
        <v>175</v>
      </c>
      <c r="T21" s="36"/>
      <c r="U21" s="13"/>
      <c r="V21" s="36"/>
      <c r="W21" s="36"/>
      <c r="X21" s="36"/>
      <c r="Y21" s="36"/>
      <c r="Z21" s="13"/>
      <c r="AA21" s="13" t="s">
        <v>175</v>
      </c>
      <c r="AB21" s="13"/>
      <c r="AC21" s="36"/>
      <c r="AD21" s="36"/>
      <c r="AE21" s="13" t="s">
        <v>175</v>
      </c>
    </row>
    <row r="22" spans="1:31" ht="63.75" x14ac:dyDescent="0.25">
      <c r="A22" s="37">
        <v>9</v>
      </c>
      <c r="B22" s="36" t="s">
        <v>175</v>
      </c>
      <c r="C22" s="36" t="s">
        <v>175</v>
      </c>
      <c r="D22" s="36" t="s">
        <v>175</v>
      </c>
      <c r="E22" s="36" t="s">
        <v>175</v>
      </c>
      <c r="F22" s="38"/>
      <c r="G22" s="42" t="s">
        <v>96</v>
      </c>
      <c r="H22" s="45" t="s">
        <v>215</v>
      </c>
      <c r="I22" s="45" t="s">
        <v>216</v>
      </c>
      <c r="J22" s="38" t="s">
        <v>191</v>
      </c>
      <c r="K22" s="13" t="s">
        <v>175</v>
      </c>
      <c r="L22" s="13" t="s">
        <v>175</v>
      </c>
      <c r="M22" s="13" t="s">
        <v>175</v>
      </c>
      <c r="N22" s="13" t="s">
        <v>175</v>
      </c>
      <c r="O22" s="36"/>
      <c r="P22" s="13"/>
      <c r="Q22" s="13"/>
      <c r="R22" s="36"/>
      <c r="S22" s="13" t="s">
        <v>175</v>
      </c>
      <c r="T22" s="36"/>
      <c r="U22" s="13"/>
      <c r="V22" s="13" t="s">
        <v>175</v>
      </c>
      <c r="W22" s="36"/>
      <c r="X22" s="36"/>
      <c r="Y22" s="36"/>
      <c r="Z22" s="13"/>
      <c r="AA22" s="13"/>
      <c r="AB22" s="13"/>
      <c r="AC22" s="36"/>
      <c r="AD22" s="36"/>
      <c r="AE22" s="13"/>
    </row>
    <row r="23" spans="1:31" ht="25.5" x14ac:dyDescent="0.25">
      <c r="A23" s="46" t="s">
        <v>173</v>
      </c>
      <c r="B23" s="92" t="s">
        <v>217</v>
      </c>
      <c r="C23" s="92"/>
      <c r="D23" s="92"/>
      <c r="E23" s="92"/>
      <c r="F23" s="92"/>
      <c r="G23" s="92"/>
      <c r="H23" s="92"/>
      <c r="I23" s="92"/>
      <c r="J23" s="92"/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  <c r="AA23" s="36"/>
      <c r="AB23" s="36"/>
      <c r="AC23" s="36"/>
      <c r="AD23" s="36"/>
      <c r="AE23" s="36"/>
    </row>
    <row r="24" spans="1:31" ht="38.25" x14ac:dyDescent="0.25">
      <c r="A24" s="37">
        <v>1</v>
      </c>
      <c r="B24" s="36" t="s">
        <v>175</v>
      </c>
      <c r="C24" s="36" t="s">
        <v>175</v>
      </c>
      <c r="D24" s="36"/>
      <c r="E24" s="36"/>
      <c r="F24" s="38" t="s">
        <v>176</v>
      </c>
      <c r="G24" s="38" t="s">
        <v>97</v>
      </c>
      <c r="H24" s="38" t="s">
        <v>218</v>
      </c>
      <c r="I24" s="38" t="s">
        <v>219</v>
      </c>
      <c r="J24" s="38" t="s">
        <v>220</v>
      </c>
      <c r="K24" s="36" t="s">
        <v>175</v>
      </c>
      <c r="L24" s="36"/>
      <c r="M24" s="36"/>
      <c r="N24" s="36" t="s">
        <v>175</v>
      </c>
      <c r="O24" s="36"/>
      <c r="P24" s="36" t="s">
        <v>175</v>
      </c>
      <c r="Q24" s="36" t="s">
        <v>175</v>
      </c>
      <c r="R24" s="36"/>
      <c r="S24" s="36" t="s">
        <v>175</v>
      </c>
      <c r="T24" s="36"/>
      <c r="U24" s="36"/>
      <c r="V24" s="36"/>
      <c r="W24" s="36"/>
      <c r="X24" s="36"/>
      <c r="Y24" s="36"/>
      <c r="Z24" s="36"/>
      <c r="AA24" s="36"/>
      <c r="AB24" s="36" t="s">
        <v>175</v>
      </c>
      <c r="AC24" s="36"/>
      <c r="AD24" s="36"/>
      <c r="AE24" s="36" t="s">
        <v>175</v>
      </c>
    </row>
    <row r="25" spans="1:31" ht="38.25" x14ac:dyDescent="0.25">
      <c r="A25" s="37">
        <v>2</v>
      </c>
      <c r="B25" s="36" t="s">
        <v>175</v>
      </c>
      <c r="C25" s="36"/>
      <c r="D25" s="36"/>
      <c r="E25" s="36"/>
      <c r="F25" s="38" t="s">
        <v>180</v>
      </c>
      <c r="G25" s="38" t="s">
        <v>98</v>
      </c>
      <c r="H25" s="38" t="s">
        <v>221</v>
      </c>
      <c r="I25" s="38" t="s">
        <v>222</v>
      </c>
      <c r="J25" s="38" t="s">
        <v>220</v>
      </c>
      <c r="K25" s="36" t="s">
        <v>175</v>
      </c>
      <c r="L25" s="36"/>
      <c r="M25" s="36"/>
      <c r="N25" s="36" t="s">
        <v>175</v>
      </c>
      <c r="O25" s="36"/>
      <c r="P25" s="36" t="s">
        <v>175</v>
      </c>
      <c r="Q25" s="36" t="s">
        <v>175</v>
      </c>
      <c r="R25" s="36"/>
      <c r="S25" s="36" t="s">
        <v>175</v>
      </c>
      <c r="T25" s="36"/>
      <c r="U25" s="36"/>
      <c r="V25" s="36"/>
      <c r="W25" s="36"/>
      <c r="X25" s="36"/>
      <c r="Y25" s="36"/>
      <c r="Z25" s="36"/>
      <c r="AA25" s="36"/>
      <c r="AB25" s="36"/>
      <c r="AC25" s="36"/>
      <c r="AD25" s="36"/>
      <c r="AE25" s="36" t="s">
        <v>175</v>
      </c>
    </row>
    <row r="26" spans="1:31" ht="38.25" x14ac:dyDescent="0.25">
      <c r="A26" s="37">
        <v>3</v>
      </c>
      <c r="B26" s="36" t="s">
        <v>175</v>
      </c>
      <c r="C26" s="36"/>
      <c r="D26" s="36"/>
      <c r="E26" s="36"/>
      <c r="F26" s="38" t="s">
        <v>188</v>
      </c>
      <c r="G26" s="38" t="s">
        <v>99</v>
      </c>
      <c r="H26" s="38" t="s">
        <v>223</v>
      </c>
      <c r="I26" s="38" t="s">
        <v>224</v>
      </c>
      <c r="J26" s="38" t="s">
        <v>179</v>
      </c>
      <c r="K26" s="36" t="s">
        <v>175</v>
      </c>
      <c r="L26" s="36" t="s">
        <v>175</v>
      </c>
      <c r="M26" s="36" t="s">
        <v>175</v>
      </c>
      <c r="N26" s="36"/>
      <c r="O26" s="36"/>
      <c r="P26" s="36"/>
      <c r="Q26" s="36"/>
      <c r="R26" s="36"/>
      <c r="S26" s="36"/>
      <c r="T26" s="36"/>
      <c r="U26" s="36" t="s">
        <v>175</v>
      </c>
      <c r="V26" s="36"/>
      <c r="W26" s="36"/>
      <c r="X26" s="36"/>
      <c r="Y26" s="36"/>
      <c r="Z26" s="36"/>
      <c r="AA26" s="36"/>
      <c r="AB26" s="36"/>
      <c r="AC26" s="36"/>
      <c r="AD26" s="36"/>
      <c r="AE26" s="36" t="s">
        <v>175</v>
      </c>
    </row>
    <row r="27" spans="1:31" ht="25.5" x14ac:dyDescent="0.25">
      <c r="A27" s="37">
        <v>4</v>
      </c>
      <c r="B27" s="36"/>
      <c r="C27" s="36"/>
      <c r="D27" s="36" t="s">
        <v>175</v>
      </c>
      <c r="E27" s="36"/>
      <c r="F27" s="38" t="s">
        <v>176</v>
      </c>
      <c r="G27" s="38" t="s">
        <v>100</v>
      </c>
      <c r="H27" s="38" t="s">
        <v>225</v>
      </c>
      <c r="I27" s="38" t="s">
        <v>226</v>
      </c>
      <c r="J27" s="38" t="s">
        <v>227</v>
      </c>
      <c r="K27" s="36"/>
      <c r="L27" s="36" t="s">
        <v>175</v>
      </c>
      <c r="M27" s="36" t="s">
        <v>175</v>
      </c>
      <c r="N27" s="36" t="s">
        <v>175</v>
      </c>
      <c r="O27" s="36"/>
      <c r="P27" s="36" t="s">
        <v>175</v>
      </c>
      <c r="Q27" s="36" t="s">
        <v>175</v>
      </c>
      <c r="R27" s="36"/>
      <c r="S27" s="36" t="s">
        <v>175</v>
      </c>
      <c r="T27" s="36"/>
      <c r="U27" s="36" t="s">
        <v>175</v>
      </c>
      <c r="V27" s="36"/>
      <c r="W27" s="36"/>
      <c r="X27" s="36"/>
      <c r="Y27" s="36"/>
      <c r="Z27" s="36"/>
      <c r="AA27" s="36" t="s">
        <v>175</v>
      </c>
      <c r="AB27" s="36"/>
      <c r="AC27" s="36"/>
      <c r="AD27" s="36"/>
      <c r="AE27" s="36"/>
    </row>
    <row r="28" spans="1:31" ht="38.25" x14ac:dyDescent="0.25">
      <c r="A28" s="37">
        <v>5</v>
      </c>
      <c r="B28" s="36"/>
      <c r="C28" s="36"/>
      <c r="D28" s="36" t="s">
        <v>175</v>
      </c>
      <c r="E28" s="36"/>
      <c r="F28" s="38" t="s">
        <v>176</v>
      </c>
      <c r="G28" s="38" t="s">
        <v>101</v>
      </c>
      <c r="H28" s="38" t="s">
        <v>228</v>
      </c>
      <c r="I28" s="38" t="s">
        <v>229</v>
      </c>
      <c r="J28" s="38" t="s">
        <v>230</v>
      </c>
      <c r="K28" s="36"/>
      <c r="L28" s="36" t="s">
        <v>175</v>
      </c>
      <c r="M28" s="36" t="s">
        <v>175</v>
      </c>
      <c r="N28" s="36" t="s">
        <v>175</v>
      </c>
      <c r="O28" s="36"/>
      <c r="P28" s="36" t="s">
        <v>175</v>
      </c>
      <c r="Q28" s="36" t="s">
        <v>175</v>
      </c>
      <c r="R28" s="36"/>
      <c r="S28" s="36" t="s">
        <v>175</v>
      </c>
      <c r="T28" s="36"/>
      <c r="U28" s="36" t="s">
        <v>175</v>
      </c>
      <c r="V28" s="36"/>
      <c r="W28" s="36"/>
      <c r="X28" s="36"/>
      <c r="Y28" s="36"/>
      <c r="Z28" s="36"/>
      <c r="AA28" s="36" t="s">
        <v>175</v>
      </c>
      <c r="AB28" s="36"/>
      <c r="AC28" s="36"/>
      <c r="AD28" s="36"/>
      <c r="AE28" s="36"/>
    </row>
    <row r="29" spans="1:31" ht="38.25" x14ac:dyDescent="0.25">
      <c r="A29" s="37">
        <v>6</v>
      </c>
      <c r="B29" s="13" t="s">
        <v>175</v>
      </c>
      <c r="C29" s="13"/>
      <c r="D29" s="13"/>
      <c r="E29" s="13"/>
      <c r="F29" s="38" t="s">
        <v>180</v>
      </c>
      <c r="G29" s="38" t="s">
        <v>102</v>
      </c>
      <c r="H29" s="45" t="s">
        <v>231</v>
      </c>
      <c r="I29" s="45" t="s">
        <v>232</v>
      </c>
      <c r="J29" s="47" t="s">
        <v>220</v>
      </c>
      <c r="K29" s="36" t="s">
        <v>175</v>
      </c>
      <c r="L29" s="36"/>
      <c r="M29" s="36"/>
      <c r="N29" s="36" t="s">
        <v>175</v>
      </c>
      <c r="O29" s="36"/>
      <c r="P29" s="36" t="s">
        <v>175</v>
      </c>
      <c r="Q29" s="36" t="s">
        <v>175</v>
      </c>
      <c r="R29" s="13"/>
      <c r="S29" s="36" t="s">
        <v>175</v>
      </c>
      <c r="T29" s="13"/>
      <c r="U29" s="36"/>
      <c r="V29" s="36"/>
      <c r="W29" s="36"/>
      <c r="X29" s="13"/>
      <c r="Y29" s="13"/>
      <c r="Z29" s="13"/>
      <c r="AA29" s="36" t="s">
        <v>175</v>
      </c>
      <c r="AB29" s="13"/>
      <c r="AC29" s="13"/>
      <c r="AD29" s="13"/>
      <c r="AE29" s="13" t="s">
        <v>175</v>
      </c>
    </row>
    <row r="30" spans="1:31" ht="51" x14ac:dyDescent="0.25">
      <c r="A30" s="37">
        <v>7</v>
      </c>
      <c r="B30" s="36" t="s">
        <v>175</v>
      </c>
      <c r="C30" s="36"/>
      <c r="D30" s="36"/>
      <c r="E30" s="36"/>
      <c r="F30" s="38" t="s">
        <v>233</v>
      </c>
      <c r="G30" s="38" t="s">
        <v>103</v>
      </c>
      <c r="H30" s="38" t="s">
        <v>234</v>
      </c>
      <c r="I30" s="38" t="s">
        <v>235</v>
      </c>
      <c r="J30" s="38" t="s">
        <v>179</v>
      </c>
      <c r="K30" s="36"/>
      <c r="L30" s="36"/>
      <c r="M30" s="36"/>
      <c r="N30" s="36" t="s">
        <v>175</v>
      </c>
      <c r="O30" s="36" t="s">
        <v>175</v>
      </c>
      <c r="P30" s="36" t="s">
        <v>175</v>
      </c>
      <c r="Q30" s="36" t="s">
        <v>175</v>
      </c>
      <c r="R30" s="36"/>
      <c r="S30" s="36" t="s">
        <v>175</v>
      </c>
      <c r="T30" s="36"/>
      <c r="U30" s="36"/>
      <c r="V30" s="36"/>
      <c r="W30" s="36" t="s">
        <v>175</v>
      </c>
      <c r="X30" s="36"/>
      <c r="Y30" s="36"/>
      <c r="Z30" s="36" t="s">
        <v>175</v>
      </c>
      <c r="AA30" s="36" t="s">
        <v>175</v>
      </c>
      <c r="AB30" s="36"/>
      <c r="AC30" s="36"/>
      <c r="AD30" s="36"/>
      <c r="AE30" s="36" t="s">
        <v>175</v>
      </c>
    </row>
    <row r="31" spans="1:31" ht="25.5" x14ac:dyDescent="0.25">
      <c r="A31" s="37">
        <v>8</v>
      </c>
      <c r="B31" s="13"/>
      <c r="C31" s="13"/>
      <c r="D31" s="36" t="s">
        <v>175</v>
      </c>
      <c r="E31" s="13"/>
      <c r="F31" s="38" t="s">
        <v>188</v>
      </c>
      <c r="G31" s="38" t="s">
        <v>104</v>
      </c>
      <c r="H31" s="45" t="s">
        <v>236</v>
      </c>
      <c r="I31" s="45" t="s">
        <v>237</v>
      </c>
      <c r="J31" s="45" t="s">
        <v>238</v>
      </c>
      <c r="K31" s="36"/>
      <c r="L31" s="36" t="s">
        <v>175</v>
      </c>
      <c r="M31" s="36" t="s">
        <v>175</v>
      </c>
      <c r="N31" s="36" t="s">
        <v>175</v>
      </c>
      <c r="O31" s="36"/>
      <c r="P31" s="36" t="s">
        <v>175</v>
      </c>
      <c r="Q31" s="36" t="s">
        <v>175</v>
      </c>
      <c r="R31" s="13"/>
      <c r="S31" s="36" t="s">
        <v>175</v>
      </c>
      <c r="T31" s="13"/>
      <c r="U31" s="36" t="s">
        <v>175</v>
      </c>
      <c r="V31" s="36"/>
      <c r="W31" s="36"/>
      <c r="X31" s="13"/>
      <c r="Y31" s="13"/>
      <c r="Z31" s="13"/>
      <c r="AA31" s="36" t="s">
        <v>175</v>
      </c>
      <c r="AB31" s="13"/>
      <c r="AC31" s="13"/>
      <c r="AD31" s="13"/>
      <c r="AE31" s="13"/>
    </row>
    <row r="32" spans="1:31" ht="25.5" x14ac:dyDescent="0.25">
      <c r="A32" s="37">
        <v>9</v>
      </c>
      <c r="B32" s="13"/>
      <c r="C32" s="13"/>
      <c r="D32" s="36" t="s">
        <v>175</v>
      </c>
      <c r="E32" s="13"/>
      <c r="F32" s="38" t="s">
        <v>188</v>
      </c>
      <c r="G32" s="38" t="s">
        <v>105</v>
      </c>
      <c r="H32" s="45" t="s">
        <v>236</v>
      </c>
      <c r="I32" s="45" t="s">
        <v>239</v>
      </c>
      <c r="J32" s="45" t="s">
        <v>240</v>
      </c>
      <c r="K32" s="36"/>
      <c r="L32" s="36" t="s">
        <v>175</v>
      </c>
      <c r="M32" s="36" t="s">
        <v>175</v>
      </c>
      <c r="N32" s="36" t="s">
        <v>175</v>
      </c>
      <c r="O32" s="36"/>
      <c r="P32" s="36" t="s">
        <v>175</v>
      </c>
      <c r="Q32" s="36" t="s">
        <v>175</v>
      </c>
      <c r="R32" s="13"/>
      <c r="S32" s="36" t="s">
        <v>175</v>
      </c>
      <c r="T32" s="13"/>
      <c r="U32" s="36" t="s">
        <v>175</v>
      </c>
      <c r="V32" s="36"/>
      <c r="W32" s="36"/>
      <c r="X32" s="13"/>
      <c r="Y32" s="13"/>
      <c r="Z32" s="13"/>
      <c r="AA32" s="36" t="s">
        <v>175</v>
      </c>
      <c r="AB32" s="13"/>
      <c r="AC32" s="13"/>
      <c r="AD32" s="13"/>
      <c r="AE32" s="13"/>
    </row>
    <row r="33" spans="1:31" ht="25.5" x14ac:dyDescent="0.25">
      <c r="A33" s="37">
        <v>10</v>
      </c>
      <c r="B33" s="36"/>
      <c r="C33" s="36"/>
      <c r="D33" s="36"/>
      <c r="E33" s="36" t="s">
        <v>175</v>
      </c>
      <c r="F33" s="38" t="s">
        <v>241</v>
      </c>
      <c r="G33" s="38" t="s">
        <v>106</v>
      </c>
      <c r="H33" s="48" t="s">
        <v>242</v>
      </c>
      <c r="I33" s="48" t="s">
        <v>243</v>
      </c>
      <c r="J33" s="38" t="s">
        <v>244</v>
      </c>
      <c r="K33" s="36"/>
      <c r="L33" s="36" t="s">
        <v>175</v>
      </c>
      <c r="M33" s="36" t="s">
        <v>175</v>
      </c>
      <c r="N33" s="36"/>
      <c r="O33" s="36"/>
      <c r="P33" s="36"/>
      <c r="Q33" s="36"/>
      <c r="R33" s="36"/>
      <c r="S33" s="36"/>
      <c r="T33" s="36"/>
      <c r="U33" s="36" t="s">
        <v>175</v>
      </c>
      <c r="V33" s="36"/>
      <c r="W33" s="36"/>
      <c r="X33" s="36"/>
      <c r="Y33" s="36"/>
      <c r="Z33" s="36"/>
      <c r="AA33" s="36"/>
      <c r="AB33" s="36"/>
      <c r="AC33" s="36"/>
      <c r="AD33" s="36"/>
      <c r="AE33" s="36"/>
    </row>
  </sheetData>
  <autoFilter ref="A2:AE33" xr:uid="{00000000-0009-0000-0000-000003000000}"/>
  <mergeCells count="4">
    <mergeCell ref="B1:E1"/>
    <mergeCell ref="G1:J1"/>
    <mergeCell ref="B3:J3"/>
    <mergeCell ref="B23:J23"/>
  </mergeCells>
  <conditionalFormatting sqref="I10">
    <cfRule type="cellIs" dxfId="6" priority="7" stopIfTrue="1" operator="equal">
      <formula>"X"</formula>
    </cfRule>
  </conditionalFormatting>
  <conditionalFormatting sqref="H10">
    <cfRule type="cellIs" dxfId="5" priority="6" stopIfTrue="1" operator="equal">
      <formula>"X"</formula>
    </cfRule>
  </conditionalFormatting>
  <conditionalFormatting sqref="H27:I27">
    <cfRule type="cellIs" dxfId="4" priority="5" stopIfTrue="1" operator="equal">
      <formula>"X"</formula>
    </cfRule>
  </conditionalFormatting>
  <conditionalFormatting sqref="H28:I28">
    <cfRule type="cellIs" dxfId="3" priority="4" stopIfTrue="1" operator="equal">
      <formula>"X"</formula>
    </cfRule>
  </conditionalFormatting>
  <conditionalFormatting sqref="H33:I33">
    <cfRule type="cellIs" dxfId="2" priority="3" stopIfTrue="1" operator="equal">
      <formula>"X"</formula>
    </cfRule>
  </conditionalFormatting>
  <conditionalFormatting sqref="H31:J31">
    <cfRule type="cellIs" dxfId="1" priority="2" stopIfTrue="1" operator="equal">
      <formula>"X"</formula>
    </cfRule>
  </conditionalFormatting>
  <conditionalFormatting sqref="H32:J32">
    <cfRule type="cellIs" dxfId="0" priority="1" stopIfTrue="1" operator="equal">
      <formula>"X"</formula>
    </cfRule>
  </conditionalFormatting>
  <pageMargins left="0.25" right="0.25" top="0.75" bottom="0.75" header="0.3" footer="0.3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Index</vt:lpstr>
      <vt:lpstr>Metric_Selection</vt:lpstr>
      <vt:lpstr>Data_Sheet</vt:lpstr>
      <vt:lpstr>Conventional_Metrics_Guide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ksanjeev</dc:creator>
  <cp:lastModifiedBy>Syed Salahuddin</cp:lastModifiedBy>
  <cp:lastPrinted>2013-06-04T06:53:31Z</cp:lastPrinted>
  <dcterms:created xsi:type="dcterms:W3CDTF">2012-04-11T04:28:57Z</dcterms:created>
  <dcterms:modified xsi:type="dcterms:W3CDTF">2018-09-03T11:28:20Z</dcterms:modified>
</cp:coreProperties>
</file>